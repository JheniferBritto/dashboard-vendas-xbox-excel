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liente\Documents\jhenifer(javascript)\"/>
    </mc:Choice>
  </mc:AlternateContent>
  <bookViews>
    <workbookView xWindow="0" yWindow="0" windowWidth="20490" windowHeight="7050" activeTab="3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3" l="1"/>
  <c r="F32" i="3"/>
</calcChain>
</file>

<file path=xl/sharedStrings.xml><?xml version="1.0" encoding="utf-8"?>
<sst xmlns="http://schemas.openxmlformats.org/spreadsheetml/2006/main" count="2018" uniqueCount="320">
  <si>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</si>
  <si>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</si>
  <si>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</si>
  <si>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</si>
  <si>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</si>
  <si>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</si>
  <si>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</si>
  <si>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</si>
  <si>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</si>
  <si>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</si>
  <si>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</si>
  <si>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</si>
  <si>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</si>
  <si>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</si>
  <si>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</si>
  <si>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</si>
  <si>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</si>
  <si>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</si>
  <si>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</si>
  <si>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</si>
  <si>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</si>
  <si>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</si>
  <si>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</si>
  <si>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</si>
  <si>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</si>
  <si>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</si>
  <si>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</si>
  <si>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</si>
  <si>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</si>
  <si>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</si>
  <si>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</si>
  <si>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</si>
  <si>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</si>
  <si>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</si>
  <si>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</si>
  <si>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</si>
  <si>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</si>
  <si>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</si>
  <si>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</si>
  <si>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</si>
  <si>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</si>
  <si>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</si>
  <si>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</si>
  <si>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</si>
  <si>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</si>
  <si>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</si>
  <si>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</si>
  <si>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</si>
  <si>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</si>
  <si>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</si>
  <si>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</si>
  <si>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</si>
  <si>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</si>
  <si>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</si>
  <si>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</si>
  <si>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</si>
  <si>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</si>
  <si>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</si>
  <si>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</si>
  <si>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</si>
  <si>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</si>
  <si>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</si>
  <si>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</si>
  <si>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</si>
  <si>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</si>
  <si>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</si>
  <si>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</si>
  <si>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</si>
  <si>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</si>
  <si>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</si>
  <si>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</si>
  <si>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</si>
  <si>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</si>
  <si>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</si>
  <si>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</si>
  <si>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</si>
  <si>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</si>
  <si>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</si>
  <si>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</si>
  <si>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</si>
  <si>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</si>
  <si>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</si>
  <si>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</si>
  <si>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</si>
  <si>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</si>
  <si>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</si>
  <si>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</si>
  <si>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</si>
  <si>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</si>
  <si>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</si>
  <si>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</si>
  <si>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</si>
  <si>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</si>
  <si>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</si>
  <si>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</si>
  <si>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</si>
  <si>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</si>
  <si>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</si>
  <si>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</si>
  <si>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</si>
  <si>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</si>
  <si>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</si>
  <si>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</si>
  <si>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</si>
  <si>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</si>
  <si>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</si>
  <si>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</si>
  <si>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</si>
  <si>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</si>
  <si>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</si>
  <si>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</si>
  <si>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</si>
  <si>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</si>
  <si>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</si>
  <si>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</si>
  <si>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</si>
  <si>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</si>
  <si>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</si>
  <si>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</si>
  <si>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</si>
  <si>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</si>
  <si>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</si>
  <si>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</si>
  <si>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</si>
  <si>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</si>
  <si>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</si>
  <si>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</si>
  <si>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</si>
  <si>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</si>
  <si>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</si>
  <si>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</si>
  <si>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</si>
  <si>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</si>
  <si>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</si>
  <si>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</si>
  <si>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</si>
  <si>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</si>
  <si>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</si>
  <si>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</si>
  <si>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</si>
  <si>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</si>
  <si>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</si>
  <si>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</si>
  <si>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</si>
  <si>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</si>
  <si>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</si>
  <si>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</si>
  <si>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</si>
  <si>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</si>
  <si>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</si>
  <si>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</si>
  <si>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</si>
  <si>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</si>
  <si>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</si>
  <si>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</si>
  <si>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</si>
  <si>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</si>
  <si>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</si>
  <si>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</si>
  <si>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</si>
  <si>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</si>
  <si>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</si>
  <si>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</si>
  <si>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</si>
  <si>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</si>
  <si>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</si>
  <si>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</si>
  <si>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</si>
  <si>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</si>
  <si>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</si>
  <si>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</si>
  <si>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</si>
  <si>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</si>
  <si>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</si>
  <si>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</si>
  <si>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</si>
  <si>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</si>
  <si>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</si>
  <si>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</si>
  <si>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</si>
  <si>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</si>
  <si>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</si>
  <si>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</si>
  <si>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</si>
  <si>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</si>
  <si>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</si>
  <si>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</si>
  <si>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</si>
  <si>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</si>
  <si>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</si>
  <si>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</si>
  <si>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</si>
  <si>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</si>
  <si>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</si>
  <si>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</si>
  <si>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</si>
  <si>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</si>
  <si>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</si>
  <si>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</si>
  <si>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</si>
  <si>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</si>
  <si>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</si>
  <si>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</si>
  <si>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</si>
  <si>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</si>
  <si>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</si>
  <si>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</si>
  <si>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</si>
  <si>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</si>
  <si>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</si>
  <si>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</si>
  <si>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</si>
  <si>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</si>
  <si>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</si>
  <si>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</si>
  <si>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</si>
  <si>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</si>
  <si>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</si>
  <si>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</si>
  <si>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</si>
  <si>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</si>
  <si>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</si>
  <si>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</si>
  <si>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</si>
  <si>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</si>
  <si>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</si>
  <si>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</si>
  <si>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</si>
  <si>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</si>
  <si>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</si>
  <si>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</si>
  <si>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</si>
  <si>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</si>
  <si>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</si>
  <si>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</si>
  <si>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</si>
  <si>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</si>
  <si>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</si>
  <si>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</si>
  <si>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</si>
  <si>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</si>
  <si>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</si>
  <si>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</si>
  <si>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</si>
  <si>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</si>
  <si>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</si>
  <si>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</si>
  <si>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</si>
  <si>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</si>
  <si>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</si>
  <si>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</si>
  <si>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</si>
  <si>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</si>
  <si>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</si>
  <si>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</si>
  <si>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</si>
  <si>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</si>
  <si>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</si>
  <si>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</si>
  <si>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</si>
  <si>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</si>
  <si>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</si>
  <si>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</si>
  <si>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</si>
  <si>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</si>
  <si>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</si>
  <si>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</si>
  <si>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</si>
  <si>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</si>
  <si>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</si>
  <si>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</si>
  <si>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</si>
  <si>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</si>
  <si>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</si>
  <si>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</si>
  <si>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</si>
  <si>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</si>
  <si>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</si>
  <si>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</si>
  <si>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</si>
  <si>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</si>
  <si>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</si>
  <si>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</si>
  <si>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</si>
  <si>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</si>
  <si>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</si>
  <si>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</si>
  <si>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</si>
  <si>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</si>
  <si>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</si>
  <si>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</si>
  <si>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</si>
  <si>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</si>
  <si>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</si>
  <si>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</si>
  <si>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</si>
  <si>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</si>
  <si>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</si>
  <si>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</si>
  <si>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</si>
  <si>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</si>
  <si>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</si>
  <si>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</si>
  <si>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</si>
  <si>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</si>
  <si>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</si>
  <si>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</si>
  <si>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</si>
  <si>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</si>
  <si>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</si>
  <si>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</si>
  <si>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</si>
  <si>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</si>
  <si>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</si>
  <si>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</si>
  <si>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</si>
  <si>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</si>
  <si>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</si>
  <si>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</si>
  <si>
    <t xml:space="preserve">calculation period:12/01/2026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</si>
</sst>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u/>
      <sz val="18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8" borderId="2" xfId="0" applyFill="1" applyBorder="1"/>
    <xf numFmtId="0" fontId="4" fillId="0" borderId="3" xfId="3" applyBorder="1"/>
    <xf numFmtId="0" fontId="0" fillId="0" borderId="3" xfId="0" applyBorder="1"/>
    <xf numFmtId="0" fontId="0" fillId="0" borderId="4" xfId="0" applyBorder="1"/>
    <xf numFmtId="0" fontId="0" fillId="8" borderId="5" xfId="0" applyFill="1" applyBorder="1"/>
    <xf numFmtId="0" fontId="5" fillId="0" borderId="0" xfId="0" applyFont="1" applyBorder="1" applyAlignment="1">
      <alignment horizontal="left" indent="9"/>
    </xf>
    <xf numFmtId="0" fontId="0" fillId="0" borderId="0" xfId="0" applyBorder="1"/>
    <xf numFmtId="0" fontId="0" fillId="0" borderId="6" xfId="0" applyBorder="1"/>
    <xf numFmtId="0" fontId="4" fillId="0" borderId="0" xfId="3" applyBorder="1"/>
    <xf numFmtId="0" fontId="0" fillId="8" borderId="7" xfId="0" applyFill="1" applyBorder="1"/>
    <xf numFmtId="0" fontId="0" fillId="9" borderId="0" xfId="0" applyFill="1"/>
    <xf numFmtId="0" fontId="4" fillId="9" borderId="0" xfId="3" applyFill="1"/>
    <xf numFmtId="0" fontId="4" fillId="10" borderId="0" xfId="3" applyFill="1" applyBorder="1"/>
    <xf numFmtId="0" fontId="0" fillId="10" borderId="0" xfId="0" applyFill="1" applyBorder="1"/>
    <xf numFmtId="0" fontId="0" fillId="10" borderId="6" xfId="0" applyFill="1" applyBorder="1"/>
    <xf numFmtId="0" fontId="4" fillId="10" borderId="8" xfId="3" applyFill="1" applyBorder="1"/>
    <xf numFmtId="0" fontId="0" fillId="10" borderId="8" xfId="0" applyFill="1" applyBorder="1"/>
    <xf numFmtId="0" fontId="0" fillId="10" borderId="9" xfId="0" applyFill="1" applyBorder="1"/>
  </cellXfs>
  <cellStyles count="4">
    <cellStyle name="Moeda" xfId="2" builtinId="4"/>
    <cellStyle name="Normal" xfId="0" builtinId="0"/>
    <cellStyle name="Título" xfId="3" builtinId="15"/>
    <cellStyle name="Título 1" xfId="1" builtinId="16"/>
  </cellStyles>
  <dxfs count="65"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0"/>
        <color theme="1"/>
        <name val="Arial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gradientFill degree="90">
          <stop position="0">
            <color theme="9" tint="0.40000610370189521"/>
          </stop>
          <stop position="1">
            <color theme="9" tint="0.40000610370189521"/>
          </stop>
        </gradientFill>
      </fill>
      <border diagonalUp="1" diagonalDown="0">
        <left style="thick">
          <color theme="9" tint="0.39994506668294322"/>
        </left>
        <right style="thick">
          <color theme="9" tint="0.39994506668294322"/>
        </right>
        <top style="thick">
          <color theme="9" tint="0.39994506668294322"/>
        </top>
        <bottom style="thick">
          <color theme="9" tint="0.39994506668294322"/>
        </bottom>
        <diagonal style="thick">
          <color theme="9" tint="0.39994506668294322"/>
        </diagonal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22C55E"/>
        </patternFill>
      </fill>
      <border diagonalUp="0" diagonalDown="0">
        <left/>
        <right/>
        <top/>
        <bottom/>
        <vertical style="thick">
          <color theme="9"/>
        </vertical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22C55E"/>
        </patternFill>
      </fill>
      <border diagonalUp="1">
        <left style="thick">
          <color theme="9"/>
        </left>
        <right style="thick">
          <color theme="9"/>
        </right>
        <top style="thick">
          <color theme="9"/>
        </top>
        <bottom style="thick">
          <color theme="9"/>
        </bottom>
        <diagonal style="thick">
          <color theme="9"/>
        </diagonal>
        <vertical/>
        <horizontal/>
      </border>
    </dxf>
  </dxfs>
  <tableStyles count="4" defaultTableStyle="TableStyleMedium2" defaultPivotStyle="PivotStyleLight16">
    <tableStyle name="Estilo de Segmentação de Dados 1" pivot="0" table="0" count="0"/>
    <tableStyle name="SlicerStyleLight6 2" pivot="0" table="0" count="10">
      <tableStyleElement type="wholeTable" dxfId="64"/>
      <tableStyleElement type="headerRow" dxfId="63"/>
    </tableStyle>
    <tableStyle name="SlicerStyleLight6 2 2" pivot="0" table="0" count="10">
      <tableStyleElement type="wholeTable" dxfId="62"/>
      <tableStyleElement type="headerRow" dxfId="61"/>
    </tableStyle>
    <tableStyle name="SlicerStyleLight6 2 2 2" pivot="0" table="0" count="10">
      <tableStyleElement type="wholeTable" dxfId="60"/>
      <tableStyleElement type="headerRow" dxfId="59"/>
    </tableStyle>
  </tableStyles>
  <colors>
    <mruColors>
      <color rgb="FFE0E0E0"/>
      <color rgb="FF22C55E"/>
      <color rgb="FFE8E6E9"/>
      <color rgb="FF5BF6A8"/>
      <color rgb="FF00000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6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6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dio.xlsx]C̳álculos!Tabela dinâmica1</c:name>
    <c:fmtId val="3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4259834695243018E-2"/>
          <c:y val="0.11126922387713584"/>
          <c:w val="0.90666549527919682"/>
          <c:h val="0.7762809769260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106-48A4-A13F-2901A33DD75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106-48A4-A13F-2901A33DD7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C̳álculos!$A$7:$A$9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C̳álculos!$B$7:$B$9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06-48A4-A13F-2901A33DD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1744920"/>
        <c:axId val="441745248"/>
      </c:barChart>
      <c:catAx>
        <c:axId val="441744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1745248"/>
        <c:crosses val="autoZero"/>
        <c:auto val="1"/>
        <c:lblAlgn val="ctr"/>
        <c:lblOffset val="100"/>
        <c:noMultiLvlLbl val="0"/>
      </c:catAx>
      <c:valAx>
        <c:axId val="441745248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4417449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image" Target="../media/image1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12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11" Type="http://schemas.openxmlformats.org/officeDocument/2006/relationships/image" Target="../media/image1.png"/><Relationship Id="rId5" Type="http://schemas.openxmlformats.org/officeDocument/2006/relationships/image" Target="../media/image8.png"/><Relationship Id="rId10" Type="http://schemas.openxmlformats.org/officeDocument/2006/relationships/image" Target="../media/image10.sv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1170644</xdr:colOff>
      <xdr:row>1</xdr:row>
      <xdr:rowOff>1917</xdr:rowOff>
    </xdr:from>
    <xdr:to>
      <xdr:col>0</xdr:col>
      <xdr:colOff>1801675</xdr:colOff>
      <xdr:row>4</xdr:row>
      <xdr:rowOff>12109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44" t="11494" r="73129" b="5912"/>
        <a:stretch/>
      </xdr:blipFill>
      <xdr:spPr>
        <a:xfrm>
          <a:off x="1170644" y="297520"/>
          <a:ext cx="631031" cy="853210"/>
        </a:xfrm>
        <a:prstGeom prst="rect">
          <a:avLst/>
        </a:prstGeom>
      </xdr:spPr>
    </xdr:pic>
    <xdr:clientData/>
  </xdr:twoCellAnchor>
  <xdr:twoCellAnchor>
    <xdr:from>
      <xdr:col>1</xdr:col>
      <xdr:colOff>130970</xdr:colOff>
      <xdr:row>13</xdr:row>
      <xdr:rowOff>166688</xdr:rowOff>
    </xdr:from>
    <xdr:to>
      <xdr:col>13</xdr:col>
      <xdr:colOff>214312</xdr:colOff>
      <xdr:row>27</xdr:row>
      <xdr:rowOff>38100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11906</xdr:colOff>
      <xdr:row>7</xdr:row>
      <xdr:rowOff>178595</xdr:rowOff>
    </xdr:from>
    <xdr:to>
      <xdr:col>0</xdr:col>
      <xdr:colOff>2035970</xdr:colOff>
      <xdr:row>12</xdr:row>
      <xdr:rowOff>166688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" y="1667561"/>
              <a:ext cx="2024064" cy="15865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178595</xdr:colOff>
      <xdr:row>6</xdr:row>
      <xdr:rowOff>23813</xdr:rowOff>
    </xdr:from>
    <xdr:to>
      <xdr:col>7</xdr:col>
      <xdr:colOff>119062</xdr:colOff>
      <xdr:row>11</xdr:row>
      <xdr:rowOff>23812</xdr:rowOff>
    </xdr:to>
    <xdr:sp macro="" textlink="">
      <xdr:nvSpPr>
        <xdr:cNvPr id="5" name="Retângulo 4"/>
        <xdr:cNvSpPr/>
      </xdr:nvSpPr>
      <xdr:spPr>
        <a:xfrm>
          <a:off x="2238376" y="1035844"/>
          <a:ext cx="3667124" cy="107156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666750</xdr:colOff>
      <xdr:row>8</xdr:row>
      <xdr:rowOff>152400</xdr:rowOff>
    </xdr:from>
    <xdr:to>
      <xdr:col>6</xdr:col>
      <xdr:colOff>476251</xdr:colOff>
      <xdr:row>10</xdr:row>
      <xdr:rowOff>166687</xdr:rowOff>
    </xdr:to>
    <xdr:sp macro="" textlink="C̳álculos!D22">
      <xdr:nvSpPr>
        <xdr:cNvPr id="6" name="Retângulo 5"/>
        <xdr:cNvSpPr/>
      </xdr:nvSpPr>
      <xdr:spPr>
        <a:xfrm>
          <a:off x="3690938" y="2057400"/>
          <a:ext cx="1881188" cy="609600"/>
        </a:xfrm>
        <a:prstGeom prst="rect">
          <a:avLst/>
        </a:prstGeom>
        <a:solidFill>
          <a:sysClr val="window" lastClr="FFFFFF"/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9626741-06F9-4211-9DAD-D4D886841D04}" type="TxLink">
            <a:rPr lang="en-US" sz="20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R$ 600,00</a:t>
          </a:fld>
          <a:endParaRPr lang="pt-BR" sz="20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11908</xdr:colOff>
      <xdr:row>7</xdr:row>
      <xdr:rowOff>321470</xdr:rowOff>
    </xdr:from>
    <xdr:to>
      <xdr:col>3</xdr:col>
      <xdr:colOff>469068</xdr:colOff>
      <xdr:row>10</xdr:row>
      <xdr:rowOff>273844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5533" y="1809751"/>
          <a:ext cx="1147723" cy="964406"/>
        </a:xfrm>
        <a:prstGeom prst="rect">
          <a:avLst/>
        </a:prstGeom>
      </xdr:spPr>
    </xdr:pic>
    <xdr:clientData/>
  </xdr:twoCellAnchor>
  <xdr:twoCellAnchor>
    <xdr:from>
      <xdr:col>1</xdr:col>
      <xdr:colOff>178594</xdr:colOff>
      <xdr:row>6</xdr:row>
      <xdr:rowOff>25016</xdr:rowOff>
    </xdr:from>
    <xdr:to>
      <xdr:col>7</xdr:col>
      <xdr:colOff>119062</xdr:colOff>
      <xdr:row>7</xdr:row>
      <xdr:rowOff>239328</xdr:rowOff>
    </xdr:to>
    <xdr:sp macro="" textlink="">
      <xdr:nvSpPr>
        <xdr:cNvPr id="8" name="Retângulo 7"/>
        <xdr:cNvSpPr/>
      </xdr:nvSpPr>
      <xdr:spPr>
        <a:xfrm>
          <a:off x="2244128" y="1384201"/>
          <a:ext cx="3643445" cy="34273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TOTAL SUBSCRIPTIONS EA SEASON PASS </a:t>
          </a:r>
        </a:p>
      </xdr:txBody>
    </xdr:sp>
    <xdr:clientData/>
  </xdr:twoCellAnchor>
  <xdr:twoCellAnchor>
    <xdr:from>
      <xdr:col>7</xdr:col>
      <xdr:colOff>450057</xdr:colOff>
      <xdr:row>6</xdr:row>
      <xdr:rowOff>21432</xdr:rowOff>
    </xdr:from>
    <xdr:to>
      <xdr:col>13</xdr:col>
      <xdr:colOff>164306</xdr:colOff>
      <xdr:row>11</xdr:row>
      <xdr:rowOff>21431</xdr:rowOff>
    </xdr:to>
    <xdr:sp macro="" textlink="">
      <xdr:nvSpPr>
        <xdr:cNvPr id="9" name="Retângulo 8"/>
        <xdr:cNvSpPr/>
      </xdr:nvSpPr>
      <xdr:spPr>
        <a:xfrm>
          <a:off x="6236495" y="1033463"/>
          <a:ext cx="3667124" cy="107156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451138</xdr:colOff>
      <xdr:row>6</xdr:row>
      <xdr:rowOff>18183</xdr:rowOff>
    </xdr:from>
    <xdr:to>
      <xdr:col>13</xdr:col>
      <xdr:colOff>165388</xdr:colOff>
      <xdr:row>7</xdr:row>
      <xdr:rowOff>232495</xdr:rowOff>
    </xdr:to>
    <xdr:sp macro="" textlink="">
      <xdr:nvSpPr>
        <xdr:cNvPr id="11" name="Retângulo 10"/>
        <xdr:cNvSpPr/>
      </xdr:nvSpPr>
      <xdr:spPr>
        <a:xfrm>
          <a:off x="6242776" y="1386717"/>
          <a:ext cx="3666578" cy="33474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TOTAL SUBSCRIPTIONS</a:t>
          </a:r>
          <a:r>
            <a:rPr lang="pt-BR" sz="1100" b="1" baseline="0">
              <a:latin typeface="Arial" panose="020B0604020202020204" pitchFamily="34" charset="0"/>
              <a:cs typeface="Arial" panose="020B0604020202020204" pitchFamily="34" charset="0"/>
            </a:rPr>
            <a:t> MINECRAFT </a:t>
          </a:r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SEASON PASS </a:t>
          </a:r>
        </a:p>
      </xdr:txBody>
    </xdr:sp>
    <xdr:clientData/>
  </xdr:twoCellAnchor>
  <xdr:twoCellAnchor editAs="absolute">
    <xdr:from>
      <xdr:col>7</xdr:col>
      <xdr:colOff>619126</xdr:colOff>
      <xdr:row>8</xdr:row>
      <xdr:rowOff>45245</xdr:rowOff>
    </xdr:from>
    <xdr:to>
      <xdr:col>9</xdr:col>
      <xdr:colOff>381001</xdr:colOff>
      <xdr:row>9</xdr:row>
      <xdr:rowOff>226219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6410764" y="1950245"/>
          <a:ext cx="1141358" cy="476577"/>
          <a:chOff x="3495675" y="5400674"/>
          <a:chExt cx="1549476" cy="752476"/>
        </a:xfrm>
      </xdr:grpSpPr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59531</xdr:colOff>
      <xdr:row>8</xdr:row>
      <xdr:rowOff>142874</xdr:rowOff>
    </xdr:from>
    <xdr:to>
      <xdr:col>12</xdr:col>
      <xdr:colOff>631031</xdr:colOff>
      <xdr:row>10</xdr:row>
      <xdr:rowOff>154781</xdr:rowOff>
    </xdr:to>
    <xdr:sp macro="" textlink="C̳álculos!F32">
      <xdr:nvSpPr>
        <xdr:cNvPr id="15" name="Retângulo 14"/>
        <xdr:cNvSpPr/>
      </xdr:nvSpPr>
      <xdr:spPr>
        <a:xfrm>
          <a:off x="7917656" y="2047874"/>
          <a:ext cx="1762125" cy="60722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E2B9DC1-0D5E-47F5-8174-FF7062A643DB}" type="TxLink">
            <a:rPr lang="en-US" sz="20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l"/>
            <a:t>R$ 940,00</a:t>
          </a:fld>
          <a:endParaRPr lang="pt-BR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128587</xdr:colOff>
      <xdr:row>12</xdr:row>
      <xdr:rowOff>69055</xdr:rowOff>
    </xdr:from>
    <xdr:to>
      <xdr:col>13</xdr:col>
      <xdr:colOff>226218</xdr:colOff>
      <xdr:row>14</xdr:row>
      <xdr:rowOff>45243</xdr:rowOff>
    </xdr:to>
    <xdr:sp macro="" textlink="">
      <xdr:nvSpPr>
        <xdr:cNvPr id="16" name="Retângulo 15"/>
        <xdr:cNvSpPr/>
      </xdr:nvSpPr>
      <xdr:spPr>
        <a:xfrm>
          <a:off x="2188368" y="2331243"/>
          <a:ext cx="7777163" cy="3333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TOTAL SUBSCRIPTIONS XBOX GAME PASS</a:t>
          </a:r>
        </a:p>
      </xdr:txBody>
    </xdr:sp>
    <xdr:clientData/>
  </xdr:twoCellAnchor>
  <xdr:twoCellAnchor editAs="absolute">
    <xdr:from>
      <xdr:col>0</xdr:col>
      <xdr:colOff>281919</xdr:colOff>
      <xdr:row>1</xdr:row>
      <xdr:rowOff>27646</xdr:rowOff>
    </xdr:from>
    <xdr:to>
      <xdr:col>0</xdr:col>
      <xdr:colOff>963449</xdr:colOff>
      <xdr:row>3</xdr:row>
      <xdr:rowOff>87586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281919" y="323249"/>
          <a:ext cx="681530" cy="662096"/>
        </a:xfrm>
        <a:prstGeom prst="ellipse">
          <a:avLst/>
        </a:prstGeom>
        <a:blipFill>
          <a:blip xmlns:r="http://schemas.openxmlformats.org/officeDocument/2006/relationships" r:embed="rId1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166687</xdr:colOff>
      <xdr:row>4</xdr:row>
      <xdr:rowOff>59530</xdr:rowOff>
    </xdr:from>
    <xdr:to>
      <xdr:col>0</xdr:col>
      <xdr:colOff>1893093</xdr:colOff>
      <xdr:row>7</xdr:row>
      <xdr:rowOff>59530</xdr:rowOff>
    </xdr:to>
    <xdr:sp macro="" textlink="">
      <xdr:nvSpPr>
        <xdr:cNvPr id="18" name="Retângulo 17"/>
        <xdr:cNvSpPr/>
      </xdr:nvSpPr>
      <xdr:spPr>
        <a:xfrm>
          <a:off x="166687" y="1202530"/>
          <a:ext cx="1726406" cy="34528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 kern="1200">
              <a:latin typeface="Arial" panose="020B0604020202020204" pitchFamily="34" charset="0"/>
              <a:cs typeface="Arial" panose="020B0604020202020204" pitchFamily="34" charset="0"/>
            </a:rPr>
            <a:t>Jhenifer C B da Silva</a:t>
          </a:r>
        </a:p>
      </xdr:txBody>
    </xdr:sp>
    <xdr:clientData/>
  </xdr:twoCellAnchor>
  <xdr:twoCellAnchor editAs="oneCell">
    <xdr:from>
      <xdr:col>2</xdr:col>
      <xdr:colOff>83345</xdr:colOff>
      <xdr:row>1</xdr:row>
      <xdr:rowOff>35719</xdr:rowOff>
    </xdr:from>
    <xdr:to>
      <xdr:col>2</xdr:col>
      <xdr:colOff>642939</xdr:colOff>
      <xdr:row>2</xdr:row>
      <xdr:rowOff>35718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-1408" t="-13742" r="68310" b="-1693"/>
        <a:stretch/>
      </xdr:blipFill>
      <xdr:spPr>
        <a:xfrm>
          <a:off x="2416970" y="333375"/>
          <a:ext cx="559594" cy="50006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iente" refreshedDate="46034.562500462962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x v="0"/>
    <x v="0"/>
    <x v="0"/>
    <x v="0"/>
    <s v="Yes"/>
    <n v="20"/>
    <n v="5"/>
    <n v="60"/>
  </r>
  <r>
    <n v="3232"/>
    <s v="Maria Oliveira"/>
    <x v="1"/>
    <d v="2024-01-15T00:00:00"/>
    <x v="1"/>
    <x v="1"/>
    <x v="1"/>
    <x v="1"/>
    <x v="1"/>
    <s v="No"/>
    <n v="0"/>
    <n v="0"/>
    <n v="5"/>
  </r>
  <r>
    <n v="3233"/>
    <s v="Lucas Fernandes"/>
    <x v="2"/>
    <d v="2024-02-10T00:00:00"/>
    <x v="0"/>
    <x v="2"/>
    <x v="2"/>
    <x v="1"/>
    <x v="1"/>
    <s v="Yes"/>
    <n v="20"/>
    <n v="10"/>
    <n v="20"/>
  </r>
  <r>
    <n v="3234"/>
    <s v="Ana Souza"/>
    <x v="0"/>
    <d v="2024-02-20T00:00:00"/>
    <x v="1"/>
    <x v="0"/>
    <x v="0"/>
    <x v="0"/>
    <x v="0"/>
    <s v="Yes"/>
    <n v="20"/>
    <n v="3"/>
    <n v="62"/>
  </r>
  <r>
    <n v="3235"/>
    <s v="Pedro Gonçalves"/>
    <x v="1"/>
    <d v="2024-03-05T00:00:00"/>
    <x v="0"/>
    <x v="1"/>
    <x v="0"/>
    <x v="1"/>
    <x v="1"/>
    <s v="No"/>
    <n v="0"/>
    <n v="1"/>
    <n v="4"/>
  </r>
  <r>
    <n v="3236"/>
    <s v="Felipe Costa"/>
    <x v="2"/>
    <d v="2024-03-02T00:00:00"/>
    <x v="1"/>
    <x v="2"/>
    <x v="0"/>
    <x v="1"/>
    <x v="1"/>
    <s v="Yes"/>
    <n v="20"/>
    <n v="2"/>
    <n v="28"/>
  </r>
  <r>
    <n v="3237"/>
    <s v="Camila Ribeiro"/>
    <x v="0"/>
    <d v="2024-03-03T00:00:00"/>
    <x v="0"/>
    <x v="0"/>
    <x v="2"/>
    <x v="0"/>
    <x v="0"/>
    <s v="Yes"/>
    <n v="20"/>
    <n v="10"/>
    <n v="55"/>
  </r>
  <r>
    <n v="3238"/>
    <s v="André Mendes"/>
    <x v="1"/>
    <d v="2024-03-04T00:00:00"/>
    <x v="0"/>
    <x v="1"/>
    <x v="1"/>
    <x v="1"/>
    <x v="1"/>
    <s v="No"/>
    <n v="0"/>
    <n v="0"/>
    <n v="5"/>
  </r>
  <r>
    <n v="3239"/>
    <s v="Sofia Almeida"/>
    <x v="0"/>
    <d v="2024-03-05T00:00:00"/>
    <x v="1"/>
    <x v="0"/>
    <x v="0"/>
    <x v="0"/>
    <x v="0"/>
    <s v="Yes"/>
    <n v="20"/>
    <n v="5"/>
    <n v="60"/>
  </r>
  <r>
    <n v="3240"/>
    <s v="Bruno Martins"/>
    <x v="2"/>
    <d v="2024-03-06T00:00:00"/>
    <x v="0"/>
    <x v="2"/>
    <x v="2"/>
    <x v="1"/>
    <x v="1"/>
    <s v="Yes"/>
    <n v="20"/>
    <n v="15"/>
    <n v="15"/>
  </r>
  <r>
    <n v="3241"/>
    <s v="Rita Castro"/>
    <x v="1"/>
    <d v="2024-03-07T00:00:00"/>
    <x v="1"/>
    <x v="1"/>
    <x v="0"/>
    <x v="1"/>
    <x v="1"/>
    <s v="No"/>
    <n v="0"/>
    <n v="1"/>
    <n v="4"/>
  </r>
  <r>
    <n v="3242"/>
    <s v="Marco Túlio"/>
    <x v="0"/>
    <d v="2024-03-08T00:00:00"/>
    <x v="0"/>
    <x v="0"/>
    <x v="1"/>
    <x v="0"/>
    <x v="0"/>
    <s v="Yes"/>
    <n v="20"/>
    <n v="20"/>
    <n v="45"/>
  </r>
  <r>
    <n v="3243"/>
    <s v="Lívia Silveira"/>
    <x v="2"/>
    <d v="2024-03-09T00:00:00"/>
    <x v="1"/>
    <x v="2"/>
    <x v="0"/>
    <x v="1"/>
    <x v="1"/>
    <s v="Yes"/>
    <n v="20"/>
    <n v="10"/>
    <n v="20"/>
  </r>
  <r>
    <n v="3244"/>
    <s v="Diogo Sousa"/>
    <x v="1"/>
    <d v="2024-03-10T00:00:00"/>
    <x v="0"/>
    <x v="1"/>
    <x v="2"/>
    <x v="1"/>
    <x v="1"/>
    <s v="No"/>
    <n v="0"/>
    <n v="0"/>
    <n v="5"/>
  </r>
  <r>
    <n v="3245"/>
    <s v="Fernanda Lima"/>
    <x v="0"/>
    <d v="2024-03-11T00:00:00"/>
    <x v="1"/>
    <x v="0"/>
    <x v="0"/>
    <x v="0"/>
    <x v="0"/>
    <s v="Yes"/>
    <n v="20"/>
    <n v="8"/>
    <n v="57"/>
  </r>
  <r>
    <n v="3246"/>
    <s v="Caio Pereira"/>
    <x v="2"/>
    <d v="2024-03-12T00:00:00"/>
    <x v="0"/>
    <x v="2"/>
    <x v="1"/>
    <x v="1"/>
    <x v="1"/>
    <s v="Yes"/>
    <n v="20"/>
    <n v="12"/>
    <n v="18"/>
  </r>
  <r>
    <n v="3247"/>
    <s v="Beatriz Gomes"/>
    <x v="1"/>
    <d v="2024-03-13T00:00:00"/>
    <x v="1"/>
    <x v="1"/>
    <x v="0"/>
    <x v="1"/>
    <x v="1"/>
    <s v="No"/>
    <n v="0"/>
    <n v="2"/>
    <n v="3"/>
  </r>
  <r>
    <n v="3248"/>
    <s v="Cesar Oliveira"/>
    <x v="0"/>
    <d v="2024-03-14T00:00:00"/>
    <x v="0"/>
    <x v="0"/>
    <x v="2"/>
    <x v="0"/>
    <x v="0"/>
    <s v="Yes"/>
    <n v="20"/>
    <n v="7"/>
    <n v="58"/>
  </r>
  <r>
    <n v="3249"/>
    <s v="Débora Machado"/>
    <x v="2"/>
    <d v="2024-03-15T00:00:00"/>
    <x v="1"/>
    <x v="2"/>
    <x v="0"/>
    <x v="1"/>
    <x v="1"/>
    <s v="Yes"/>
    <n v="20"/>
    <n v="5"/>
    <n v="25"/>
  </r>
  <r>
    <n v="3250"/>
    <s v="Eduardo Vargas"/>
    <x v="1"/>
    <d v="2024-03-16T00:00:00"/>
    <x v="0"/>
    <x v="1"/>
    <x v="1"/>
    <x v="1"/>
    <x v="1"/>
    <s v="No"/>
    <n v="0"/>
    <n v="0"/>
    <n v="5"/>
  </r>
  <r>
    <n v="3251"/>
    <s v="Gabriela Santos"/>
    <x v="0"/>
    <d v="2024-03-17T00:00:00"/>
    <x v="1"/>
    <x v="0"/>
    <x v="0"/>
    <x v="0"/>
    <x v="0"/>
    <s v="Yes"/>
    <n v="20"/>
    <n v="3"/>
    <n v="62"/>
  </r>
  <r>
    <n v="3252"/>
    <s v="Henrique Dias"/>
    <x v="2"/>
    <d v="2024-03-18T00:00:00"/>
    <x v="0"/>
    <x v="2"/>
    <x v="2"/>
    <x v="1"/>
    <x v="1"/>
    <s v="Yes"/>
    <n v="20"/>
    <n v="15"/>
    <n v="15"/>
  </r>
  <r>
    <n v="3253"/>
    <s v="Isabela Moreira"/>
    <x v="1"/>
    <d v="2024-03-19T00:00:00"/>
    <x v="1"/>
    <x v="1"/>
    <x v="0"/>
    <x v="1"/>
    <x v="1"/>
    <s v="No"/>
    <n v="0"/>
    <n v="1"/>
    <n v="4"/>
  </r>
  <r>
    <n v="3254"/>
    <s v="Joaquim Barbosa"/>
    <x v="0"/>
    <d v="2024-03-20T00:00:00"/>
    <x v="0"/>
    <x v="0"/>
    <x v="1"/>
    <x v="0"/>
    <x v="0"/>
    <s v="Yes"/>
    <n v="20"/>
    <n v="20"/>
    <n v="45"/>
  </r>
  <r>
    <n v="3255"/>
    <s v="Lara Rocha"/>
    <x v="2"/>
    <d v="2024-03-21T00:00:00"/>
    <x v="1"/>
    <x v="2"/>
    <x v="0"/>
    <x v="1"/>
    <x v="1"/>
    <s v="Yes"/>
    <n v="20"/>
    <n v="10"/>
    <n v="20"/>
  </r>
  <r>
    <n v="3256"/>
    <s v="Matheus Silva"/>
    <x v="1"/>
    <d v="2024-03-22T00:00:00"/>
    <x v="0"/>
    <x v="1"/>
    <x v="2"/>
    <x v="1"/>
    <x v="1"/>
    <s v="No"/>
    <n v="0"/>
    <n v="0"/>
    <n v="5"/>
  </r>
  <r>
    <n v="3257"/>
    <s v="Nicole Costa"/>
    <x v="0"/>
    <d v="2024-03-23T00:00:00"/>
    <x v="1"/>
    <x v="0"/>
    <x v="0"/>
    <x v="0"/>
    <x v="0"/>
    <s v="Yes"/>
    <n v="20"/>
    <n v="5"/>
    <n v="60"/>
  </r>
  <r>
    <n v="3258"/>
    <s v="Otávio Mendonça"/>
    <x v="2"/>
    <d v="2024-03-24T00:00:00"/>
    <x v="0"/>
    <x v="2"/>
    <x v="1"/>
    <x v="1"/>
    <x v="1"/>
    <s v="Yes"/>
    <n v="20"/>
    <n v="15"/>
    <n v="15"/>
  </r>
  <r>
    <n v="3259"/>
    <s v="Paula Ferreira"/>
    <x v="1"/>
    <d v="2024-03-25T00:00:00"/>
    <x v="1"/>
    <x v="1"/>
    <x v="0"/>
    <x v="1"/>
    <x v="1"/>
    <s v="No"/>
    <n v="0"/>
    <n v="1"/>
    <n v="4"/>
  </r>
  <r>
    <n v="3260"/>
    <s v="Raquel Alves"/>
    <x v="0"/>
    <d v="2024-03-26T00:00:00"/>
    <x v="0"/>
    <x v="0"/>
    <x v="2"/>
    <x v="0"/>
    <x v="0"/>
    <s v="Yes"/>
    <n v="20"/>
    <n v="7"/>
    <n v="58"/>
  </r>
  <r>
    <n v="3261"/>
    <s v="Samuel Pires"/>
    <x v="2"/>
    <d v="2024-03-27T00:00:00"/>
    <x v="1"/>
    <x v="2"/>
    <x v="0"/>
    <x v="1"/>
    <x v="1"/>
    <s v="Yes"/>
    <n v="20"/>
    <n v="10"/>
    <n v="20"/>
  </r>
  <r>
    <n v="3262"/>
    <s v="Tânia Barros"/>
    <x v="1"/>
    <d v="2024-03-28T00:00:00"/>
    <x v="0"/>
    <x v="1"/>
    <x v="1"/>
    <x v="1"/>
    <x v="1"/>
    <s v="No"/>
    <n v="0"/>
    <n v="0"/>
    <n v="5"/>
  </r>
  <r>
    <n v="3263"/>
    <s v="Vinicius Lima"/>
    <x v="0"/>
    <d v="2024-03-29T00:00:00"/>
    <x v="1"/>
    <x v="0"/>
    <x v="0"/>
    <x v="0"/>
    <x v="0"/>
    <s v="Yes"/>
    <n v="20"/>
    <n v="3"/>
    <n v="62"/>
  </r>
  <r>
    <n v="3264"/>
    <s v="Yasmin Teixeira"/>
    <x v="2"/>
    <d v="2024-03-30T00:00:00"/>
    <x v="0"/>
    <x v="2"/>
    <x v="2"/>
    <x v="1"/>
    <x v="1"/>
    <s v="Yes"/>
    <n v="20"/>
    <n v="15"/>
    <n v="15"/>
  </r>
  <r>
    <n v="3265"/>
    <s v="Zé Carlos"/>
    <x v="1"/>
    <d v="2024-03-31T00:00:00"/>
    <x v="1"/>
    <x v="1"/>
    <x v="0"/>
    <x v="1"/>
    <x v="1"/>
    <s v="No"/>
    <n v="0"/>
    <n v="1"/>
    <n v="4"/>
  </r>
  <r>
    <n v="3266"/>
    <s v="Amanda Nogueira"/>
    <x v="1"/>
    <d v="2024-04-01T00:00:00"/>
    <x v="0"/>
    <x v="1"/>
    <x v="0"/>
    <x v="1"/>
    <x v="1"/>
    <s v="No"/>
    <n v="0"/>
    <n v="0"/>
    <n v="5"/>
  </r>
  <r>
    <n v="3267"/>
    <s v="Bruno Cavalheiro"/>
    <x v="0"/>
    <d v="2024-04-02T00:00:00"/>
    <x v="1"/>
    <x v="0"/>
    <x v="2"/>
    <x v="0"/>
    <x v="0"/>
    <s v="Yes"/>
    <n v="20"/>
    <n v="7"/>
    <n v="58"/>
  </r>
  <r>
    <n v="3268"/>
    <s v="Carla Dias"/>
    <x v="2"/>
    <d v="2024-04-03T00:00:00"/>
    <x v="0"/>
    <x v="2"/>
    <x v="1"/>
    <x v="1"/>
    <x v="1"/>
    <s v="Yes"/>
    <n v="20"/>
    <n v="10"/>
    <n v="20"/>
  </r>
  <r>
    <n v="3269"/>
    <s v="Diego Fontes"/>
    <x v="1"/>
    <d v="2024-04-04T00:00:00"/>
    <x v="1"/>
    <x v="1"/>
    <x v="2"/>
    <x v="1"/>
    <x v="1"/>
    <s v="No"/>
    <n v="0"/>
    <n v="1"/>
    <n v="4"/>
  </r>
  <r>
    <n v="3270"/>
    <s v="Eunice Lima"/>
    <x v="0"/>
    <d v="2024-04-05T00:00:00"/>
    <x v="0"/>
    <x v="0"/>
    <x v="0"/>
    <x v="0"/>
    <x v="0"/>
    <s v="Yes"/>
    <n v="20"/>
    <n v="15"/>
    <n v="50"/>
  </r>
  <r>
    <n v="3271"/>
    <s v="Fábio Martins"/>
    <x v="2"/>
    <d v="2024-04-06T00:00:00"/>
    <x v="1"/>
    <x v="2"/>
    <x v="0"/>
    <x v="1"/>
    <x v="1"/>
    <s v="Yes"/>
    <n v="20"/>
    <n v="5"/>
    <n v="25"/>
  </r>
  <r>
    <n v="3272"/>
    <s v="Gisele Araújo"/>
    <x v="1"/>
    <d v="2024-04-07T00:00:00"/>
    <x v="0"/>
    <x v="1"/>
    <x v="1"/>
    <x v="1"/>
    <x v="1"/>
    <s v="No"/>
    <n v="0"/>
    <n v="0"/>
    <n v="5"/>
  </r>
  <r>
    <n v="3273"/>
    <s v="Hélio Castro"/>
    <x v="0"/>
    <d v="2024-04-08T00:00:00"/>
    <x v="1"/>
    <x v="0"/>
    <x v="2"/>
    <x v="0"/>
    <x v="0"/>
    <s v="Yes"/>
    <n v="20"/>
    <n v="20"/>
    <n v="45"/>
  </r>
  <r>
    <n v="3274"/>
    <s v="Ingrid Menezes"/>
    <x v="2"/>
    <d v="2024-04-09T00:00:00"/>
    <x v="0"/>
    <x v="2"/>
    <x v="2"/>
    <x v="1"/>
    <x v="1"/>
    <s v="Yes"/>
    <n v="20"/>
    <n v="12"/>
    <n v="18"/>
  </r>
  <r>
    <n v="3275"/>
    <s v="Jorge Baptista"/>
    <x v="1"/>
    <d v="2024-04-10T00:00:00"/>
    <x v="1"/>
    <x v="1"/>
    <x v="0"/>
    <x v="1"/>
    <x v="1"/>
    <s v="No"/>
    <n v="0"/>
    <n v="2"/>
    <n v="3"/>
  </r>
  <r>
    <n v="3276"/>
    <s v="Kléber Oliveira"/>
    <x v="0"/>
    <d v="2024-04-11T00:00:00"/>
    <x v="0"/>
    <x v="0"/>
    <x v="1"/>
    <x v="0"/>
    <x v="0"/>
    <s v="Yes"/>
    <n v="20"/>
    <n v="5"/>
    <n v="60"/>
  </r>
  <r>
    <n v="3277"/>
    <s v="Luciana Freitas"/>
    <x v="2"/>
    <d v="2024-04-12T00:00:00"/>
    <x v="1"/>
    <x v="2"/>
    <x v="0"/>
    <x v="1"/>
    <x v="1"/>
    <s v="Yes"/>
    <n v="20"/>
    <n v="10"/>
    <n v="20"/>
  </r>
  <r>
    <n v="3278"/>
    <s v="Márcia Eller"/>
    <x v="1"/>
    <d v="2024-04-13T00:00:00"/>
    <x v="0"/>
    <x v="1"/>
    <x v="2"/>
    <x v="1"/>
    <x v="1"/>
    <s v="No"/>
    <n v="0"/>
    <n v="0"/>
    <n v="5"/>
  </r>
  <r>
    <n v="3279"/>
    <s v="Nilo Peçanha"/>
    <x v="0"/>
    <d v="2024-04-14T00:00:00"/>
    <x v="1"/>
    <x v="0"/>
    <x v="0"/>
    <x v="0"/>
    <x v="0"/>
    <s v="Yes"/>
    <n v="20"/>
    <n v="3"/>
    <n v="62"/>
  </r>
  <r>
    <n v="3280"/>
    <s v="Oscar Neves"/>
    <x v="2"/>
    <d v="2024-04-15T00:00:00"/>
    <x v="0"/>
    <x v="2"/>
    <x v="1"/>
    <x v="1"/>
    <x v="1"/>
    <s v="Yes"/>
    <n v="20"/>
    <n v="15"/>
    <n v="15"/>
  </r>
  <r>
    <n v="3281"/>
    <s v="Patrícia Soares"/>
    <x v="1"/>
    <d v="2024-04-16T00:00:00"/>
    <x v="1"/>
    <x v="1"/>
    <x v="0"/>
    <x v="1"/>
    <x v="1"/>
    <s v="No"/>
    <n v="0"/>
    <n v="1"/>
    <n v="4"/>
  </r>
  <r>
    <n v="3282"/>
    <s v="Quirino Gonçalves"/>
    <x v="0"/>
    <d v="2024-04-17T00:00:00"/>
    <x v="0"/>
    <x v="0"/>
    <x v="2"/>
    <x v="0"/>
    <x v="0"/>
    <s v="Yes"/>
    <n v="20"/>
    <n v="7"/>
    <n v="58"/>
  </r>
  <r>
    <n v="3283"/>
    <s v="Raul Machado"/>
    <x v="2"/>
    <d v="2024-04-18T00:00:00"/>
    <x v="1"/>
    <x v="2"/>
    <x v="0"/>
    <x v="1"/>
    <x v="1"/>
    <s v="Yes"/>
    <n v="20"/>
    <n v="10"/>
    <n v="20"/>
  </r>
  <r>
    <n v="3284"/>
    <s v="Sônia Lobo"/>
    <x v="1"/>
    <d v="2024-04-19T00:00:00"/>
    <x v="0"/>
    <x v="1"/>
    <x v="1"/>
    <x v="1"/>
    <x v="1"/>
    <s v="No"/>
    <n v="0"/>
    <n v="0"/>
    <n v="5"/>
  </r>
  <r>
    <n v="3285"/>
    <s v="Tiago Ramos"/>
    <x v="0"/>
    <d v="2024-04-20T00:00:00"/>
    <x v="1"/>
    <x v="0"/>
    <x v="0"/>
    <x v="0"/>
    <x v="0"/>
    <s v="Yes"/>
    <n v="20"/>
    <n v="20"/>
    <n v="45"/>
  </r>
  <r>
    <n v="3286"/>
    <s v="Ugo Pires"/>
    <x v="2"/>
    <d v="2024-04-21T00:00:00"/>
    <x v="0"/>
    <x v="2"/>
    <x v="2"/>
    <x v="1"/>
    <x v="1"/>
    <s v="Yes"/>
    <n v="20"/>
    <n v="15"/>
    <n v="15"/>
  </r>
  <r>
    <n v="3287"/>
    <s v="Valéria Nobre"/>
    <x v="1"/>
    <d v="2024-04-22T00:00:00"/>
    <x v="1"/>
    <x v="1"/>
    <x v="0"/>
    <x v="1"/>
    <x v="1"/>
    <s v="No"/>
    <n v="0"/>
    <n v="1"/>
    <n v="4"/>
  </r>
  <r>
    <n v="3288"/>
    <s v="William Siqueira"/>
    <x v="0"/>
    <d v="2024-04-23T00:00:00"/>
    <x v="0"/>
    <x v="0"/>
    <x v="1"/>
    <x v="0"/>
    <x v="0"/>
    <s v="Yes"/>
    <n v="20"/>
    <n v="3"/>
    <n v="62"/>
  </r>
  <r>
    <n v="3289"/>
    <s v="Xuxa Meneghel"/>
    <x v="2"/>
    <d v="2024-04-24T00:00:00"/>
    <x v="1"/>
    <x v="2"/>
    <x v="0"/>
    <x v="1"/>
    <x v="1"/>
    <s v="Yes"/>
    <n v="20"/>
    <n v="10"/>
    <n v="20"/>
  </r>
  <r>
    <n v="3290"/>
    <s v="Yara Figueiredo"/>
    <x v="1"/>
    <d v="2024-04-25T00:00:00"/>
    <x v="0"/>
    <x v="1"/>
    <x v="2"/>
    <x v="1"/>
    <x v="1"/>
    <s v="No"/>
    <n v="0"/>
    <n v="0"/>
    <n v="5"/>
  </r>
  <r>
    <n v="3291"/>
    <s v="Zacarias Alves"/>
    <x v="0"/>
    <d v="2024-04-26T00:00:00"/>
    <x v="1"/>
    <x v="0"/>
    <x v="0"/>
    <x v="0"/>
    <x v="0"/>
    <s v="Yes"/>
    <n v="20"/>
    <n v="5"/>
    <n v="60"/>
  </r>
  <r>
    <n v="3292"/>
    <s v="Amanda Bynes"/>
    <x v="2"/>
    <d v="2024-04-27T00:00:00"/>
    <x v="0"/>
    <x v="2"/>
    <x v="1"/>
    <x v="1"/>
    <x v="1"/>
    <s v="Yes"/>
    <n v="20"/>
    <n v="15"/>
    <n v="15"/>
  </r>
  <r>
    <n v="3293"/>
    <s v="Bruno Mars"/>
    <x v="1"/>
    <d v="2024-04-28T00:00:00"/>
    <x v="1"/>
    <x v="1"/>
    <x v="0"/>
    <x v="1"/>
    <x v="1"/>
    <s v="No"/>
    <n v="0"/>
    <n v="1"/>
    <n v="4"/>
  </r>
  <r>
    <n v="3294"/>
    <s v="Carla Bruni"/>
    <x v="0"/>
    <d v="2024-04-29T00:00:00"/>
    <x v="0"/>
    <x v="0"/>
    <x v="2"/>
    <x v="0"/>
    <x v="0"/>
    <s v="Yes"/>
    <n v="20"/>
    <n v="20"/>
    <n v="45"/>
  </r>
  <r>
    <n v="3295"/>
    <s v="Diego Maradona"/>
    <x v="2"/>
    <d v="2024-04-30T00:00:00"/>
    <x v="1"/>
    <x v="2"/>
    <x v="0"/>
    <x v="1"/>
    <x v="1"/>
    <s v="Yes"/>
    <n v="20"/>
    <n v="5"/>
    <n v="25"/>
  </r>
  <r>
    <n v="3296"/>
    <s v="Estela Marques"/>
    <x v="1"/>
    <d v="2024-05-01T00:00:00"/>
    <x v="1"/>
    <x v="1"/>
    <x v="0"/>
    <x v="1"/>
    <x v="1"/>
    <s v="No"/>
    <n v="0"/>
    <n v="0"/>
    <n v="5"/>
  </r>
  <r>
    <n v="3297"/>
    <s v="Fábio Nobre"/>
    <x v="0"/>
    <d v="2024-05-02T00:00:00"/>
    <x v="0"/>
    <x v="0"/>
    <x v="2"/>
    <x v="0"/>
    <x v="0"/>
    <s v="Yes"/>
    <n v="20"/>
    <n v="7"/>
    <n v="58"/>
  </r>
  <r>
    <n v="3298"/>
    <s v="Gabriel Oliveira"/>
    <x v="2"/>
    <d v="2024-05-03T00:00:00"/>
    <x v="1"/>
    <x v="2"/>
    <x v="1"/>
    <x v="1"/>
    <x v="1"/>
    <s v="Yes"/>
    <n v="20"/>
    <n v="10"/>
    <n v="20"/>
  </r>
  <r>
    <n v="3299"/>
    <s v="Helena Santos"/>
    <x v="1"/>
    <d v="2024-05-04T00:00:00"/>
    <x v="0"/>
    <x v="1"/>
    <x v="2"/>
    <x v="1"/>
    <x v="1"/>
    <s v="No"/>
    <n v="0"/>
    <n v="1"/>
    <n v="4"/>
  </r>
  <r>
    <n v="3300"/>
    <s v="Ivan Carvalho"/>
    <x v="0"/>
    <d v="2024-05-05T00:00:00"/>
    <x v="1"/>
    <x v="0"/>
    <x v="0"/>
    <x v="0"/>
    <x v="0"/>
    <s v="Yes"/>
    <n v="20"/>
    <n v="15"/>
    <n v="50"/>
  </r>
  <r>
    <n v="3301"/>
    <s v="Júlia Ferreira"/>
    <x v="2"/>
    <d v="2024-05-06T00:00:00"/>
    <x v="0"/>
    <x v="2"/>
    <x v="0"/>
    <x v="1"/>
    <x v="1"/>
    <s v="Yes"/>
    <n v="20"/>
    <n v="5"/>
    <n v="25"/>
  </r>
  <r>
    <n v="3302"/>
    <s v="Karla Alves"/>
    <x v="1"/>
    <d v="2024-05-07T00:00:00"/>
    <x v="1"/>
    <x v="1"/>
    <x v="1"/>
    <x v="1"/>
    <x v="1"/>
    <s v="No"/>
    <n v="0"/>
    <n v="0"/>
    <n v="5"/>
  </r>
  <r>
    <n v="3303"/>
    <s v="Lucas Mendes"/>
    <x v="0"/>
    <d v="2024-05-08T00:00:00"/>
    <x v="0"/>
    <x v="0"/>
    <x v="2"/>
    <x v="0"/>
    <x v="0"/>
    <s v="Yes"/>
    <n v="20"/>
    <n v="20"/>
    <n v="45"/>
  </r>
  <r>
    <n v="3304"/>
    <s v="Mônica Gomes"/>
    <x v="2"/>
    <d v="2024-05-09T00:00:00"/>
    <x v="1"/>
    <x v="2"/>
    <x v="2"/>
    <x v="1"/>
    <x v="1"/>
    <s v="Yes"/>
    <n v="20"/>
    <n v="12"/>
    <n v="18"/>
  </r>
  <r>
    <n v="3305"/>
    <s v="Norberto Queiroz"/>
    <x v="1"/>
    <d v="2024-05-10T00:00:00"/>
    <x v="0"/>
    <x v="1"/>
    <x v="0"/>
    <x v="1"/>
    <x v="1"/>
    <s v="No"/>
    <n v="0"/>
    <n v="2"/>
    <n v="3"/>
  </r>
  <r>
    <n v="3306"/>
    <s v="Otávio Barros"/>
    <x v="0"/>
    <d v="2024-05-11T00:00:00"/>
    <x v="1"/>
    <x v="0"/>
    <x v="1"/>
    <x v="0"/>
    <x v="0"/>
    <s v="Yes"/>
    <n v="20"/>
    <n v="5"/>
    <n v="60"/>
  </r>
  <r>
    <n v="3307"/>
    <s v="Paula Vieira"/>
    <x v="2"/>
    <d v="2024-05-12T00:00:00"/>
    <x v="0"/>
    <x v="2"/>
    <x v="0"/>
    <x v="1"/>
    <x v="1"/>
    <s v="Yes"/>
    <n v="20"/>
    <n v="10"/>
    <n v="20"/>
  </r>
  <r>
    <n v="3308"/>
    <s v="Quentin Ramos"/>
    <x v="1"/>
    <d v="2024-05-13T00:00:00"/>
    <x v="1"/>
    <x v="1"/>
    <x v="2"/>
    <x v="1"/>
    <x v="1"/>
    <s v="No"/>
    <n v="0"/>
    <n v="0"/>
    <n v="5"/>
  </r>
  <r>
    <n v="3309"/>
    <s v="Raquel Novaes"/>
    <x v="0"/>
    <d v="2024-05-14T00:00:00"/>
    <x v="0"/>
    <x v="0"/>
    <x v="0"/>
    <x v="0"/>
    <x v="0"/>
    <s v="Yes"/>
    <n v="20"/>
    <n v="3"/>
    <n v="62"/>
  </r>
  <r>
    <n v="3310"/>
    <s v="Samantha Lopes"/>
    <x v="2"/>
    <d v="2024-05-15T00:00:00"/>
    <x v="1"/>
    <x v="2"/>
    <x v="1"/>
    <x v="1"/>
    <x v="1"/>
    <s v="Yes"/>
    <n v="20"/>
    <n v="15"/>
    <n v="15"/>
  </r>
  <r>
    <n v="3311"/>
    <s v="Tiago Martins"/>
    <x v="1"/>
    <d v="2024-05-16T00:00:00"/>
    <x v="0"/>
    <x v="1"/>
    <x v="0"/>
    <x v="1"/>
    <x v="1"/>
    <s v="No"/>
    <n v="0"/>
    <n v="1"/>
    <n v="4"/>
  </r>
  <r>
    <n v="3312"/>
    <s v="Ulysses Guimarães"/>
    <x v="0"/>
    <d v="2024-05-17T00:00:00"/>
    <x v="1"/>
    <x v="0"/>
    <x v="2"/>
    <x v="0"/>
    <x v="0"/>
    <s v="Yes"/>
    <n v="20"/>
    <n v="7"/>
    <n v="58"/>
  </r>
  <r>
    <n v="3313"/>
    <s v="Vanessa Silva"/>
    <x v="2"/>
    <d v="2024-05-18T00:00:00"/>
    <x v="0"/>
    <x v="2"/>
    <x v="0"/>
    <x v="1"/>
    <x v="1"/>
    <s v="Yes"/>
    <n v="20"/>
    <n v="10"/>
    <n v="20"/>
  </r>
  <r>
    <n v="3314"/>
    <s v="William Carneiro"/>
    <x v="1"/>
    <d v="2024-05-19T00:00:00"/>
    <x v="1"/>
    <x v="1"/>
    <x v="1"/>
    <x v="1"/>
    <x v="1"/>
    <s v="No"/>
    <n v="0"/>
    <n v="0"/>
    <n v="5"/>
  </r>
  <r>
    <n v="3315"/>
    <s v="Ximena Rocha"/>
    <x v="0"/>
    <d v="2024-05-20T00:00:00"/>
    <x v="0"/>
    <x v="0"/>
    <x v="0"/>
    <x v="0"/>
    <x v="0"/>
    <s v="Yes"/>
    <n v="20"/>
    <n v="20"/>
    <n v="45"/>
  </r>
  <r>
    <n v="3316"/>
    <s v="Yasmin Figueiredo"/>
    <x v="2"/>
    <d v="2024-05-21T00:00:00"/>
    <x v="1"/>
    <x v="2"/>
    <x v="2"/>
    <x v="1"/>
    <x v="1"/>
    <s v="Yes"/>
    <n v="20"/>
    <n v="15"/>
    <n v="15"/>
  </r>
  <r>
    <n v="3317"/>
    <s v="Zara Cunha"/>
    <x v="1"/>
    <d v="2024-05-22T00:00:00"/>
    <x v="0"/>
    <x v="1"/>
    <x v="0"/>
    <x v="1"/>
    <x v="1"/>
    <s v="No"/>
    <n v="0"/>
    <n v="1"/>
    <n v="4"/>
  </r>
  <r>
    <n v="3318"/>
    <s v="Alan Teixeira"/>
    <x v="0"/>
    <d v="2024-05-23T00:00:00"/>
    <x v="1"/>
    <x v="0"/>
    <x v="1"/>
    <x v="0"/>
    <x v="0"/>
    <s v="Yes"/>
    <n v="20"/>
    <n v="3"/>
    <n v="62"/>
  </r>
  <r>
    <n v="3319"/>
    <s v="Bárbara Oliveira"/>
    <x v="2"/>
    <d v="2024-05-24T00:00:00"/>
    <x v="0"/>
    <x v="2"/>
    <x v="0"/>
    <x v="1"/>
    <x v="1"/>
    <s v="Yes"/>
    <n v="20"/>
    <n v="10"/>
    <n v="20"/>
  </r>
  <r>
    <n v="3320"/>
    <s v="Carlos Junqueira"/>
    <x v="1"/>
    <d v="2024-05-25T00:00:00"/>
    <x v="1"/>
    <x v="1"/>
    <x v="2"/>
    <x v="1"/>
    <x v="1"/>
    <s v="No"/>
    <n v="0"/>
    <n v="0"/>
    <n v="5"/>
  </r>
  <r>
    <n v="3321"/>
    <s v="Daniela Moura"/>
    <x v="0"/>
    <d v="2024-05-26T00:00:00"/>
    <x v="0"/>
    <x v="0"/>
    <x v="0"/>
    <x v="0"/>
    <x v="0"/>
    <s v="Yes"/>
    <n v="20"/>
    <n v="5"/>
    <n v="60"/>
  </r>
  <r>
    <n v="3322"/>
    <s v="Eduardo Lima"/>
    <x v="2"/>
    <d v="2024-05-27T00:00:00"/>
    <x v="1"/>
    <x v="2"/>
    <x v="1"/>
    <x v="1"/>
    <x v="1"/>
    <s v="Yes"/>
    <n v="20"/>
    <n v="15"/>
    <n v="15"/>
  </r>
  <r>
    <n v="3323"/>
    <s v="Fabiana Araújo"/>
    <x v="1"/>
    <d v="2024-05-28T00:00:00"/>
    <x v="0"/>
    <x v="1"/>
    <x v="0"/>
    <x v="1"/>
    <x v="1"/>
    <s v="No"/>
    <n v="0"/>
    <n v="1"/>
    <n v="4"/>
  </r>
  <r>
    <n v="3324"/>
    <s v="Geraldo Ribeiro"/>
    <x v="0"/>
    <d v="2024-05-29T00:00:00"/>
    <x v="1"/>
    <x v="0"/>
    <x v="2"/>
    <x v="0"/>
    <x v="0"/>
    <s v="Yes"/>
    <n v="20"/>
    <n v="20"/>
    <n v="45"/>
  </r>
  <r>
    <n v="3325"/>
    <s v="Héctor Vargas"/>
    <x v="2"/>
    <d v="2024-05-30T00:00:00"/>
    <x v="0"/>
    <x v="2"/>
    <x v="2"/>
    <x v="1"/>
    <x v="1"/>
    <s v="Yes"/>
    <n v="20"/>
    <n v="15"/>
    <n v="15"/>
  </r>
  <r>
    <n v="3326"/>
    <s v="Isabela Fonseca"/>
    <x v="1"/>
    <d v="2024-05-31T00:00:00"/>
    <x v="1"/>
    <x v="1"/>
    <x v="1"/>
    <x v="1"/>
    <x v="1"/>
    <s v="No"/>
    <n v="0"/>
    <n v="0"/>
    <n v="5"/>
  </r>
  <r>
    <n v="3327"/>
    <s v="João Pedro Almeida"/>
    <x v="0"/>
    <d v="2024-06-01T00:00:00"/>
    <x v="0"/>
    <x v="0"/>
    <x v="0"/>
    <x v="0"/>
    <x v="0"/>
    <s v="Yes"/>
    <n v="20"/>
    <n v="7"/>
    <n v="58"/>
  </r>
  <r>
    <n v="3328"/>
    <s v="Klara Costa"/>
    <x v="2"/>
    <d v="2024-06-02T00:00:00"/>
    <x v="1"/>
    <x v="2"/>
    <x v="1"/>
    <x v="1"/>
    <x v="1"/>
    <s v="Yes"/>
    <n v="20"/>
    <n v="10"/>
    <n v="20"/>
  </r>
  <r>
    <n v="3329"/>
    <s v="Luciana Mendes"/>
    <x v="1"/>
    <d v="2024-06-03T00:00:00"/>
    <x v="0"/>
    <x v="1"/>
    <x v="2"/>
    <x v="1"/>
    <x v="1"/>
    <s v="No"/>
    <n v="0"/>
    <n v="1"/>
    <n v="4"/>
  </r>
  <r>
    <n v="3330"/>
    <s v="Marcelo Gouveia"/>
    <x v="0"/>
    <d v="2024-06-04T00:00:00"/>
    <x v="1"/>
    <x v="0"/>
    <x v="0"/>
    <x v="0"/>
    <x v="0"/>
    <s v="Yes"/>
    <n v="20"/>
    <n v="15"/>
    <n v="50"/>
  </r>
  <r>
    <n v="3331"/>
    <s v="Nívea Borges"/>
    <x v="2"/>
    <d v="2024-06-05T00:00:00"/>
    <x v="0"/>
    <x v="2"/>
    <x v="0"/>
    <x v="1"/>
    <x v="1"/>
    <s v="Yes"/>
    <n v="20"/>
    <n v="5"/>
    <n v="25"/>
  </r>
  <r>
    <n v="3332"/>
    <s v="Oscar Nogueira"/>
    <x v="1"/>
    <d v="2024-06-06T00:00:00"/>
    <x v="1"/>
    <x v="1"/>
    <x v="1"/>
    <x v="1"/>
    <x v="1"/>
    <s v="No"/>
    <n v="0"/>
    <n v="0"/>
    <n v="5"/>
  </r>
  <r>
    <n v="3333"/>
    <s v="Patrícia Alves"/>
    <x v="0"/>
    <d v="2024-06-07T00:00:00"/>
    <x v="0"/>
    <x v="0"/>
    <x v="2"/>
    <x v="0"/>
    <x v="0"/>
    <s v="Yes"/>
    <n v="20"/>
    <n v="20"/>
    <n v="45"/>
  </r>
  <r>
    <n v="3334"/>
    <s v="Rafaela Silva"/>
    <x v="2"/>
    <d v="2024-06-08T00:00:00"/>
    <x v="1"/>
    <x v="2"/>
    <x v="2"/>
    <x v="1"/>
    <x v="1"/>
    <s v="Yes"/>
    <n v="20"/>
    <n v="12"/>
    <n v="18"/>
  </r>
  <r>
    <n v="3335"/>
    <s v="Samantha Moraes"/>
    <x v="1"/>
    <d v="2024-06-09T00:00:00"/>
    <x v="0"/>
    <x v="1"/>
    <x v="0"/>
    <x v="1"/>
    <x v="1"/>
    <s v="No"/>
    <n v="0"/>
    <n v="2"/>
    <n v="3"/>
  </r>
  <r>
    <n v="3336"/>
    <s v="Tatiana Rocha"/>
    <x v="1"/>
    <d v="2024-06-10T00:00:00"/>
    <x v="0"/>
    <x v="1"/>
    <x v="0"/>
    <x v="1"/>
    <x v="1"/>
    <s v="No"/>
    <n v="0"/>
    <n v="0"/>
    <n v="5"/>
  </r>
  <r>
    <n v="3337"/>
    <s v="Ulisses Tavares"/>
    <x v="0"/>
    <d v="2024-06-11T00:00:00"/>
    <x v="1"/>
    <x v="0"/>
    <x v="2"/>
    <x v="0"/>
    <x v="0"/>
    <s v="Yes"/>
    <n v="20"/>
    <n v="7"/>
    <n v="58"/>
  </r>
  <r>
    <n v="3338"/>
    <s v="Víctor Lemos"/>
    <x v="2"/>
    <d v="2024-06-12T00:00:00"/>
    <x v="0"/>
    <x v="2"/>
    <x v="1"/>
    <x v="1"/>
    <x v="1"/>
    <s v="Yes"/>
    <n v="20"/>
    <n v="10"/>
    <n v="20"/>
  </r>
  <r>
    <n v="3339"/>
    <s v="Wilma Barros"/>
    <x v="1"/>
    <d v="2024-06-13T00:00:00"/>
    <x v="1"/>
    <x v="1"/>
    <x v="2"/>
    <x v="1"/>
    <x v="1"/>
    <s v="No"/>
    <n v="0"/>
    <n v="1"/>
    <n v="4"/>
  </r>
  <r>
    <n v="3340"/>
    <s v="Xavier Nascimento"/>
    <x v="0"/>
    <d v="2024-06-14T00:00:00"/>
    <x v="0"/>
    <x v="0"/>
    <x v="0"/>
    <x v="0"/>
    <x v="0"/>
    <s v="Yes"/>
    <n v="20"/>
    <n v="15"/>
    <n v="50"/>
  </r>
  <r>
    <n v="3341"/>
    <s v="Yago Pereira"/>
    <x v="2"/>
    <d v="2024-06-15T00:00:00"/>
    <x v="1"/>
    <x v="2"/>
    <x v="0"/>
    <x v="1"/>
    <x v="1"/>
    <s v="Yes"/>
    <n v="20"/>
    <n v="5"/>
    <n v="25"/>
  </r>
  <r>
    <n v="3342"/>
    <s v="Zilda Ferreira"/>
    <x v="1"/>
    <d v="2024-06-16T00:00:00"/>
    <x v="0"/>
    <x v="1"/>
    <x v="1"/>
    <x v="1"/>
    <x v="1"/>
    <s v="No"/>
    <n v="0"/>
    <n v="0"/>
    <n v="5"/>
  </r>
  <r>
    <n v="3343"/>
    <s v="Amanda Lopes"/>
    <x v="0"/>
    <d v="2024-06-17T00:00:00"/>
    <x v="1"/>
    <x v="0"/>
    <x v="2"/>
    <x v="0"/>
    <x v="0"/>
    <s v="Yes"/>
    <n v="20"/>
    <n v="20"/>
    <n v="45"/>
  </r>
  <r>
    <n v="3344"/>
    <s v="Bruno Miranda"/>
    <x v="2"/>
    <d v="2024-06-18T00:00:00"/>
    <x v="0"/>
    <x v="2"/>
    <x v="2"/>
    <x v="1"/>
    <x v="1"/>
    <s v="Yes"/>
    <n v="20"/>
    <n v="12"/>
    <n v="18"/>
  </r>
  <r>
    <n v="3345"/>
    <s v="Célia Torres"/>
    <x v="1"/>
    <d v="2024-06-19T00:00:00"/>
    <x v="1"/>
    <x v="1"/>
    <x v="0"/>
    <x v="1"/>
    <x v="1"/>
    <s v="No"/>
    <n v="0"/>
    <n v="2"/>
    <n v="3"/>
  </r>
  <r>
    <n v="3346"/>
    <s v="Diogo Souza"/>
    <x v="0"/>
    <d v="2024-06-20T00:00:00"/>
    <x v="0"/>
    <x v="0"/>
    <x v="1"/>
    <x v="0"/>
    <x v="0"/>
    <s v="Yes"/>
    <n v="20"/>
    <n v="5"/>
    <n v="60"/>
  </r>
  <r>
    <n v="3347"/>
    <s v="Elisa Castro"/>
    <x v="2"/>
    <d v="2024-06-21T00:00:00"/>
    <x v="1"/>
    <x v="2"/>
    <x v="0"/>
    <x v="1"/>
    <x v="1"/>
    <s v="Yes"/>
    <n v="20"/>
    <n v="10"/>
    <n v="20"/>
  </r>
  <r>
    <n v="3348"/>
    <s v="Fátima Lima"/>
    <x v="1"/>
    <d v="2024-06-22T00:00:00"/>
    <x v="0"/>
    <x v="1"/>
    <x v="2"/>
    <x v="1"/>
    <x v="1"/>
    <s v="No"/>
    <n v="0"/>
    <n v="0"/>
    <n v="5"/>
  </r>
  <r>
    <n v="3349"/>
    <s v="Geraldo Ribeiro"/>
    <x v="0"/>
    <d v="2024-06-23T00:00:00"/>
    <x v="1"/>
    <x v="0"/>
    <x v="0"/>
    <x v="0"/>
    <x v="0"/>
    <s v="Yes"/>
    <n v="20"/>
    <n v="3"/>
    <n v="62"/>
  </r>
  <r>
    <n v="3350"/>
    <s v="Hélio Martins"/>
    <x v="2"/>
    <d v="2024-06-24T00:00:00"/>
    <x v="0"/>
    <x v="2"/>
    <x v="1"/>
    <x v="1"/>
    <x v="1"/>
    <s v="Yes"/>
    <n v="20"/>
    <n v="15"/>
    <n v="15"/>
  </r>
  <r>
    <n v="3351"/>
    <s v="Íris Santos"/>
    <x v="1"/>
    <d v="2024-06-25T00:00:00"/>
    <x v="1"/>
    <x v="1"/>
    <x v="0"/>
    <x v="1"/>
    <x v="1"/>
    <s v="No"/>
    <n v="0"/>
    <n v="1"/>
    <n v="4"/>
  </r>
  <r>
    <n v="3352"/>
    <s v="João Marcelo"/>
    <x v="0"/>
    <d v="2024-06-26T00:00:00"/>
    <x v="0"/>
    <x v="0"/>
    <x v="2"/>
    <x v="0"/>
    <x v="0"/>
    <s v="Yes"/>
    <n v="20"/>
    <n v="7"/>
    <n v="58"/>
  </r>
  <r>
    <n v="3353"/>
    <s v="Larissa Gomes"/>
    <x v="2"/>
    <d v="2024-06-27T00:00:00"/>
    <x v="1"/>
    <x v="2"/>
    <x v="0"/>
    <x v="1"/>
    <x v="1"/>
    <s v="Yes"/>
    <n v="20"/>
    <n v="10"/>
    <n v="20"/>
  </r>
  <r>
    <n v="3354"/>
    <s v="Márcio Silva"/>
    <x v="1"/>
    <d v="2024-06-28T00:00:00"/>
    <x v="0"/>
    <x v="1"/>
    <x v="1"/>
    <x v="1"/>
    <x v="1"/>
    <s v="No"/>
    <n v="0"/>
    <n v="0"/>
    <n v="5"/>
  </r>
  <r>
    <n v="3355"/>
    <s v="Nadia Costa"/>
    <x v="0"/>
    <d v="2024-06-29T00:00:00"/>
    <x v="1"/>
    <x v="0"/>
    <x v="0"/>
    <x v="0"/>
    <x v="0"/>
    <s v="Yes"/>
    <n v="20"/>
    <n v="20"/>
    <n v="45"/>
  </r>
  <r>
    <n v="3356"/>
    <s v="Oscar Almeida"/>
    <x v="2"/>
    <d v="2024-06-30T00:00:00"/>
    <x v="0"/>
    <x v="2"/>
    <x v="2"/>
    <x v="1"/>
    <x v="1"/>
    <s v="Yes"/>
    <n v="20"/>
    <n v="15"/>
    <n v="15"/>
  </r>
  <r>
    <n v="3357"/>
    <s v="Patricia Soares"/>
    <x v="1"/>
    <d v="2024-07-01T00:00:00"/>
    <x v="1"/>
    <x v="1"/>
    <x v="0"/>
    <x v="1"/>
    <x v="1"/>
    <s v="No"/>
    <n v="0"/>
    <n v="1"/>
    <n v="4"/>
  </r>
  <r>
    <n v="3358"/>
    <s v="Quênia Barros"/>
    <x v="0"/>
    <d v="2024-07-02T00:00:00"/>
    <x v="0"/>
    <x v="0"/>
    <x v="1"/>
    <x v="0"/>
    <x v="0"/>
    <s v="Yes"/>
    <n v="20"/>
    <n v="3"/>
    <n v="62"/>
  </r>
  <r>
    <n v="3359"/>
    <s v="Rafael Torres"/>
    <x v="2"/>
    <d v="2024-07-03T00:00:00"/>
    <x v="1"/>
    <x v="2"/>
    <x v="0"/>
    <x v="1"/>
    <x v="1"/>
    <s v="Yes"/>
    <n v="20"/>
    <n v="10"/>
    <n v="20"/>
  </r>
  <r>
    <n v="3360"/>
    <s v="Silvia Nascimento"/>
    <x v="1"/>
    <d v="2024-07-04T00:00:00"/>
    <x v="0"/>
    <x v="1"/>
    <x v="2"/>
    <x v="1"/>
    <x v="1"/>
    <s v="No"/>
    <n v="0"/>
    <n v="0"/>
    <n v="5"/>
  </r>
  <r>
    <n v="3361"/>
    <s v="Tiago Mendes"/>
    <x v="0"/>
    <d v="2024-07-05T00:00:00"/>
    <x v="1"/>
    <x v="0"/>
    <x v="0"/>
    <x v="0"/>
    <x v="0"/>
    <s v="Yes"/>
    <n v="20"/>
    <n v="15"/>
    <n v="50"/>
  </r>
  <r>
    <n v="3362"/>
    <s v="Ursula Silva"/>
    <x v="2"/>
    <d v="2024-07-06T00:00:00"/>
    <x v="0"/>
    <x v="2"/>
    <x v="1"/>
    <x v="1"/>
    <x v="1"/>
    <s v="Yes"/>
    <n v="20"/>
    <n v="15"/>
    <n v="15"/>
  </r>
  <r>
    <n v="3363"/>
    <s v="Vanessa Moraes"/>
    <x v="1"/>
    <d v="2024-07-07T00:00:00"/>
    <x v="1"/>
    <x v="1"/>
    <x v="0"/>
    <x v="1"/>
    <x v="1"/>
    <s v="No"/>
    <n v="0"/>
    <n v="1"/>
    <n v="4"/>
  </r>
  <r>
    <n v="3364"/>
    <s v="Waldir Junior"/>
    <x v="0"/>
    <d v="2024-07-08T00:00:00"/>
    <x v="0"/>
    <x v="0"/>
    <x v="2"/>
    <x v="0"/>
    <x v="0"/>
    <s v="Yes"/>
    <n v="20"/>
    <n v="7"/>
    <n v="58"/>
  </r>
  <r>
    <n v="3365"/>
    <s v="Xavier Lopes"/>
    <x v="2"/>
    <d v="2024-07-09T00:00:00"/>
    <x v="1"/>
    <x v="2"/>
    <x v="0"/>
    <x v="1"/>
    <x v="1"/>
    <s v="Yes"/>
    <n v="20"/>
    <n v="10"/>
    <n v="20"/>
  </r>
  <r>
    <n v="3366"/>
    <s v="Yolanda Freitas"/>
    <x v="1"/>
    <d v="2024-07-10T00:00:00"/>
    <x v="0"/>
    <x v="1"/>
    <x v="0"/>
    <x v="1"/>
    <x v="1"/>
    <s v="No"/>
    <n v="0"/>
    <n v="0"/>
    <n v="5"/>
  </r>
  <r>
    <n v="3367"/>
    <s v="Zacarias Nunes"/>
    <x v="0"/>
    <d v="2024-07-11T00:00:00"/>
    <x v="1"/>
    <x v="0"/>
    <x v="2"/>
    <x v="0"/>
    <x v="0"/>
    <s v="Yes"/>
    <n v="20"/>
    <n v="7"/>
    <n v="58"/>
  </r>
  <r>
    <n v="3368"/>
    <s v="Ana Clara Barreto"/>
    <x v="2"/>
    <d v="2024-07-12T00:00:00"/>
    <x v="0"/>
    <x v="2"/>
    <x v="1"/>
    <x v="1"/>
    <x v="1"/>
    <s v="Yes"/>
    <n v="20"/>
    <n v="10"/>
    <n v="20"/>
  </r>
  <r>
    <n v="3369"/>
    <s v="Bruno Henrique"/>
    <x v="1"/>
    <d v="2024-07-13T00:00:00"/>
    <x v="1"/>
    <x v="1"/>
    <x v="2"/>
    <x v="1"/>
    <x v="1"/>
    <s v="No"/>
    <n v="0"/>
    <n v="1"/>
    <n v="4"/>
  </r>
  <r>
    <n v="3370"/>
    <s v="Carlos Eduardo"/>
    <x v="0"/>
    <d v="2024-07-14T00:00:00"/>
    <x v="0"/>
    <x v="0"/>
    <x v="0"/>
    <x v="0"/>
    <x v="0"/>
    <s v="Yes"/>
    <n v="20"/>
    <n v="15"/>
    <n v="50"/>
  </r>
  <r>
    <n v="3371"/>
    <s v="Débora Lima"/>
    <x v="2"/>
    <d v="2024-07-15T00:00:00"/>
    <x v="1"/>
    <x v="2"/>
    <x v="0"/>
    <x v="1"/>
    <x v="1"/>
    <s v="Yes"/>
    <n v="20"/>
    <n v="5"/>
    <n v="25"/>
  </r>
  <r>
    <n v="3372"/>
    <s v="Elisa Neves"/>
    <x v="1"/>
    <d v="2024-07-16T00:00:00"/>
    <x v="0"/>
    <x v="1"/>
    <x v="1"/>
    <x v="1"/>
    <x v="1"/>
    <s v="No"/>
    <n v="0"/>
    <n v="0"/>
    <n v="5"/>
  </r>
  <r>
    <n v="3373"/>
    <s v="Fabiano Gomes"/>
    <x v="0"/>
    <d v="2024-07-17T00:00:00"/>
    <x v="1"/>
    <x v="0"/>
    <x v="2"/>
    <x v="0"/>
    <x v="0"/>
    <s v="Yes"/>
    <n v="20"/>
    <n v="20"/>
    <n v="45"/>
  </r>
  <r>
    <n v="3374"/>
    <s v="Gisele Oliveira"/>
    <x v="2"/>
    <d v="2024-07-18T00:00:00"/>
    <x v="0"/>
    <x v="2"/>
    <x v="2"/>
    <x v="1"/>
    <x v="1"/>
    <s v="Yes"/>
    <n v="20"/>
    <n v="12"/>
    <n v="18"/>
  </r>
  <r>
    <n v="3375"/>
    <s v="Héctor Silva"/>
    <x v="1"/>
    <d v="2024-07-19T00:00:00"/>
    <x v="1"/>
    <x v="1"/>
    <x v="0"/>
    <x v="1"/>
    <x v="1"/>
    <s v="No"/>
    <n v="0"/>
    <n v="2"/>
    <n v="3"/>
  </r>
  <r>
    <n v="3376"/>
    <s v="Igor Martins"/>
    <x v="0"/>
    <d v="2024-07-20T00:00:00"/>
    <x v="0"/>
    <x v="0"/>
    <x v="1"/>
    <x v="0"/>
    <x v="0"/>
    <s v="Yes"/>
    <n v="20"/>
    <n v="5"/>
    <n v="60"/>
  </r>
  <r>
    <n v="3377"/>
    <s v="Joana Figueiredo"/>
    <x v="2"/>
    <d v="2024-07-21T00:00:00"/>
    <x v="1"/>
    <x v="2"/>
    <x v="0"/>
    <x v="1"/>
    <x v="1"/>
    <s v="Yes"/>
    <n v="20"/>
    <n v="10"/>
    <n v="20"/>
  </r>
  <r>
    <n v="3378"/>
    <s v="Kleber Machado"/>
    <x v="1"/>
    <d v="2024-07-22T00:00:00"/>
    <x v="0"/>
    <x v="1"/>
    <x v="2"/>
    <x v="1"/>
    <x v="1"/>
    <s v="No"/>
    <n v="0"/>
    <n v="0"/>
    <n v="5"/>
  </r>
  <r>
    <n v="3379"/>
    <s v="Luciana Santos"/>
    <x v="0"/>
    <d v="2024-07-23T00:00:00"/>
    <x v="1"/>
    <x v="0"/>
    <x v="0"/>
    <x v="0"/>
    <x v="0"/>
    <s v="Yes"/>
    <n v="20"/>
    <n v="3"/>
    <n v="62"/>
  </r>
  <r>
    <n v="3380"/>
    <s v="Marcos Teixeira"/>
    <x v="2"/>
    <d v="2024-07-24T00:00:00"/>
    <x v="0"/>
    <x v="2"/>
    <x v="1"/>
    <x v="1"/>
    <x v="1"/>
    <s v="Yes"/>
    <n v="20"/>
    <n v="15"/>
    <n v="15"/>
  </r>
  <r>
    <n v="3381"/>
    <s v="Natalia Costa"/>
    <x v="1"/>
    <d v="2024-07-25T00:00:00"/>
    <x v="1"/>
    <x v="1"/>
    <x v="0"/>
    <x v="1"/>
    <x v="1"/>
    <s v="No"/>
    <n v="0"/>
    <n v="1"/>
    <n v="4"/>
  </r>
  <r>
    <n v="3382"/>
    <s v="Oscar Ribeiro"/>
    <x v="0"/>
    <d v="2024-07-26T00:00:00"/>
    <x v="0"/>
    <x v="0"/>
    <x v="2"/>
    <x v="0"/>
    <x v="0"/>
    <s v="Yes"/>
    <n v="20"/>
    <n v="7"/>
    <n v="58"/>
  </r>
  <r>
    <n v="3383"/>
    <s v="Patricia Almeida"/>
    <x v="2"/>
    <d v="2024-07-27T00:00:00"/>
    <x v="1"/>
    <x v="2"/>
    <x v="0"/>
    <x v="1"/>
    <x v="1"/>
    <s v="Yes"/>
    <n v="20"/>
    <n v="10"/>
    <n v="20"/>
  </r>
  <r>
    <n v="3384"/>
    <s v="Quirino Junior"/>
    <x v="1"/>
    <d v="2024-07-28T00:00:00"/>
    <x v="0"/>
    <x v="1"/>
    <x v="1"/>
    <x v="1"/>
    <x v="1"/>
    <s v="No"/>
    <n v="0"/>
    <n v="0"/>
    <n v="5"/>
  </r>
  <r>
    <n v="3385"/>
    <s v="Renata Machado"/>
    <x v="0"/>
    <d v="2024-07-29T00:00:00"/>
    <x v="1"/>
    <x v="0"/>
    <x v="0"/>
    <x v="0"/>
    <x v="0"/>
    <s v="Yes"/>
    <n v="20"/>
    <n v="20"/>
    <n v="45"/>
  </r>
  <r>
    <n v="3386"/>
    <s v="Sônia Alves"/>
    <x v="2"/>
    <d v="2024-07-30T00:00:00"/>
    <x v="0"/>
    <x v="2"/>
    <x v="2"/>
    <x v="1"/>
    <x v="1"/>
    <s v="Yes"/>
    <n v="20"/>
    <n v="15"/>
    <n v="15"/>
  </r>
  <r>
    <n v="3387"/>
    <s v="Tiago Nunes"/>
    <x v="1"/>
    <d v="2024-07-31T00:00:00"/>
    <x v="1"/>
    <x v="1"/>
    <x v="0"/>
    <x v="1"/>
    <x v="1"/>
    <s v="No"/>
    <n v="0"/>
    <n v="1"/>
    <n v="4"/>
  </r>
  <r>
    <n v="3388"/>
    <s v="Ulysses Pereira"/>
    <x v="0"/>
    <d v="2024-08-01T00:00:00"/>
    <x v="0"/>
    <x v="0"/>
    <x v="1"/>
    <x v="0"/>
    <x v="0"/>
    <s v="Yes"/>
    <n v="20"/>
    <n v="3"/>
    <n v="62"/>
  </r>
  <r>
    <n v="3389"/>
    <s v="Vanessa Lima"/>
    <x v="2"/>
    <d v="2024-08-02T00:00:00"/>
    <x v="1"/>
    <x v="2"/>
    <x v="0"/>
    <x v="1"/>
    <x v="1"/>
    <s v="Yes"/>
    <n v="20"/>
    <n v="10"/>
    <n v="20"/>
  </r>
  <r>
    <n v="3390"/>
    <s v="Wagner Santos"/>
    <x v="1"/>
    <d v="2024-08-03T00:00:00"/>
    <x v="0"/>
    <x v="1"/>
    <x v="2"/>
    <x v="1"/>
    <x v="1"/>
    <s v="No"/>
    <n v="0"/>
    <n v="0"/>
    <n v="5"/>
  </r>
  <r>
    <n v="3391"/>
    <s v="Xuxa Meneghel"/>
    <x v="0"/>
    <d v="2024-08-04T00:00:00"/>
    <x v="1"/>
    <x v="0"/>
    <x v="0"/>
    <x v="0"/>
    <x v="0"/>
    <s v="Yes"/>
    <n v="20"/>
    <n v="15"/>
    <n v="50"/>
  </r>
  <r>
    <n v="3392"/>
    <s v="Yasmin Silva"/>
    <x v="2"/>
    <d v="2024-08-05T00:00:00"/>
    <x v="0"/>
    <x v="2"/>
    <x v="1"/>
    <x v="1"/>
    <x v="1"/>
    <s v="Yes"/>
    <n v="20"/>
    <n v="15"/>
    <n v="15"/>
  </r>
  <r>
    <n v="3393"/>
    <s v="Zacarias de Souza"/>
    <x v="1"/>
    <d v="2024-08-06T00:00:00"/>
    <x v="1"/>
    <x v="1"/>
    <x v="0"/>
    <x v="1"/>
    <x v="1"/>
    <s v="No"/>
    <n v="0"/>
    <n v="1"/>
    <n v="4"/>
  </r>
  <r>
    <n v="3394"/>
    <s v="André Lima"/>
    <x v="0"/>
    <d v="2024-08-07T00:00:00"/>
    <x v="0"/>
    <x v="0"/>
    <x v="2"/>
    <x v="0"/>
    <x v="0"/>
    <s v="Yes"/>
    <n v="20"/>
    <n v="7"/>
    <n v="58"/>
  </r>
  <r>
    <n v="3395"/>
    <s v="Bianca Freitas"/>
    <x v="2"/>
    <d v="2024-08-08T00:00:00"/>
    <x v="1"/>
    <x v="2"/>
    <x v="0"/>
    <x v="1"/>
    <x v="1"/>
    <s v="Yes"/>
    <n v="20"/>
    <n v="10"/>
    <n v="20"/>
  </r>
  <r>
    <n v="3396"/>
    <s v="Caio Mendes"/>
    <x v="1"/>
    <d v="2024-08-09T00:00:00"/>
    <x v="0"/>
    <x v="1"/>
    <x v="1"/>
    <x v="1"/>
    <x v="1"/>
    <s v="No"/>
    <n v="0"/>
    <n v="0"/>
    <n v="5"/>
  </r>
  <r>
    <n v="3397"/>
    <s v="Daniela Moura"/>
    <x v="0"/>
    <d v="2024-08-10T00:00:00"/>
    <x v="1"/>
    <x v="0"/>
    <x v="0"/>
    <x v="0"/>
    <x v="0"/>
    <s v="Yes"/>
    <n v="20"/>
    <n v="20"/>
    <n v="45"/>
  </r>
  <r>
    <n v="3398"/>
    <s v="Eduardo Costa"/>
    <x v="2"/>
    <d v="2024-08-11T00:00:00"/>
    <x v="0"/>
    <x v="2"/>
    <x v="2"/>
    <x v="1"/>
    <x v="1"/>
    <s v="Yes"/>
    <n v="20"/>
    <n v="15"/>
    <n v="15"/>
  </r>
  <r>
    <n v="3399"/>
    <s v="Fernanda Gomes"/>
    <x v="1"/>
    <d v="2024-08-12T00:00:00"/>
    <x v="1"/>
    <x v="1"/>
    <x v="0"/>
    <x v="1"/>
    <x v="1"/>
    <s v="No"/>
    <n v="0"/>
    <n v="1"/>
    <n v="4"/>
  </r>
  <r>
    <n v="3400"/>
    <s v="Guilherme Souza"/>
    <x v="0"/>
    <d v="2024-08-13T00:00:00"/>
    <x v="0"/>
    <x v="0"/>
    <x v="1"/>
    <x v="0"/>
    <x v="0"/>
    <s v="Yes"/>
    <n v="20"/>
    <n v="5"/>
    <n v="60"/>
  </r>
  <r>
    <n v="3401"/>
    <s v="Helena Ribeiro"/>
    <x v="2"/>
    <d v="2024-08-14T00:00:00"/>
    <x v="1"/>
    <x v="2"/>
    <x v="0"/>
    <x v="1"/>
    <x v="1"/>
    <s v="Yes"/>
    <n v="20"/>
    <n v="10"/>
    <n v="20"/>
  </r>
  <r>
    <n v="3402"/>
    <s v="Igor Santos"/>
    <x v="1"/>
    <d v="2024-08-15T00:00:00"/>
    <x v="0"/>
    <x v="1"/>
    <x v="2"/>
    <x v="1"/>
    <x v="1"/>
    <s v="No"/>
    <n v="0"/>
    <n v="0"/>
    <n v="5"/>
  </r>
  <r>
    <n v="3403"/>
    <s v="João Carvalho"/>
    <x v="0"/>
    <d v="2024-08-16T00:00:00"/>
    <x v="1"/>
    <x v="0"/>
    <x v="0"/>
    <x v="0"/>
    <x v="0"/>
    <s v="Yes"/>
    <n v="20"/>
    <n v="3"/>
    <n v="62"/>
  </r>
  <r>
    <n v="3404"/>
    <s v="Klara Fagundes"/>
    <x v="2"/>
    <d v="2024-08-17T00:00:00"/>
    <x v="0"/>
    <x v="2"/>
    <x v="1"/>
    <x v="1"/>
    <x v="1"/>
    <s v="Yes"/>
    <n v="20"/>
    <n v="15"/>
    <n v="15"/>
  </r>
  <r>
    <n v="3405"/>
    <s v="Lúcia Mendonça"/>
    <x v="1"/>
    <d v="2024-08-18T00:00:00"/>
    <x v="1"/>
    <x v="1"/>
    <x v="0"/>
    <x v="1"/>
    <x v="1"/>
    <s v="No"/>
    <n v="0"/>
    <n v="1"/>
    <n v="4"/>
  </r>
  <r>
    <n v="3406"/>
    <s v="Marcelo Novaes"/>
    <x v="1"/>
    <d v="2024-08-19T00:00:00"/>
    <x v="0"/>
    <x v="1"/>
    <x v="0"/>
    <x v="1"/>
    <x v="1"/>
    <s v="No"/>
    <n v="0"/>
    <n v="0"/>
    <n v="5"/>
  </r>
  <r>
    <n v="3407"/>
    <s v="Nina Pacheco"/>
    <x v="0"/>
    <d v="2024-08-20T00:00:00"/>
    <x v="1"/>
    <x v="0"/>
    <x v="2"/>
    <x v="0"/>
    <x v="0"/>
    <s v="Yes"/>
    <n v="20"/>
    <n v="7"/>
    <n v="58"/>
  </r>
  <r>
    <n v="3408"/>
    <s v="Olívia Rios"/>
    <x v="2"/>
    <d v="2024-08-21T00:00:00"/>
    <x v="0"/>
    <x v="2"/>
    <x v="1"/>
    <x v="1"/>
    <x v="1"/>
    <s v="Yes"/>
    <n v="20"/>
    <n v="10"/>
    <n v="20"/>
  </r>
  <r>
    <n v="3409"/>
    <s v="Paulo Quintana"/>
    <x v="1"/>
    <d v="2024-08-22T00:00:00"/>
    <x v="1"/>
    <x v="1"/>
    <x v="2"/>
    <x v="1"/>
    <x v="1"/>
    <s v="No"/>
    <n v="0"/>
    <n v="1"/>
    <n v="4"/>
  </r>
  <r>
    <n v="3410"/>
    <s v="Raquel Domingos"/>
    <x v="0"/>
    <d v="2024-08-23T00:00:00"/>
    <x v="0"/>
    <x v="0"/>
    <x v="0"/>
    <x v="0"/>
    <x v="0"/>
    <s v="Yes"/>
    <n v="20"/>
    <n v="15"/>
    <n v="50"/>
  </r>
  <r>
    <n v="3411"/>
    <s v="Samuel Viana"/>
    <x v="2"/>
    <d v="2024-08-24T00:00:00"/>
    <x v="1"/>
    <x v="2"/>
    <x v="0"/>
    <x v="1"/>
    <x v="1"/>
    <s v="Yes"/>
    <n v="20"/>
    <n v="5"/>
    <n v="25"/>
  </r>
  <r>
    <n v="3412"/>
    <s v="Tatiane Rocha"/>
    <x v="1"/>
    <d v="2024-08-25T00:00:00"/>
    <x v="0"/>
    <x v="1"/>
    <x v="1"/>
    <x v="1"/>
    <x v="1"/>
    <s v="No"/>
    <n v="0"/>
    <n v="0"/>
    <n v="5"/>
  </r>
  <r>
    <n v="3413"/>
    <s v="Ulysses Farias"/>
    <x v="0"/>
    <d v="2024-08-26T00:00:00"/>
    <x v="1"/>
    <x v="0"/>
    <x v="2"/>
    <x v="0"/>
    <x v="0"/>
    <s v="Yes"/>
    <n v="20"/>
    <n v="20"/>
    <n v="45"/>
  </r>
  <r>
    <n v="3414"/>
    <s v="Vanessa Moreira"/>
    <x v="2"/>
    <d v="2024-08-27T00:00:00"/>
    <x v="0"/>
    <x v="2"/>
    <x v="2"/>
    <x v="1"/>
    <x v="1"/>
    <s v="Yes"/>
    <n v="20"/>
    <n v="12"/>
    <n v="18"/>
  </r>
  <r>
    <n v="3415"/>
    <s v="William Carvalho"/>
    <x v="1"/>
    <d v="2024-08-28T00:00:00"/>
    <x v="1"/>
    <x v="1"/>
    <x v="0"/>
    <x v="1"/>
    <x v="1"/>
    <s v="No"/>
    <n v="0"/>
    <n v="2"/>
    <n v="3"/>
  </r>
  <r>
    <n v="3416"/>
    <s v="Ximena Barros"/>
    <x v="0"/>
    <d v="2024-08-29T00:00:00"/>
    <x v="0"/>
    <x v="0"/>
    <x v="1"/>
    <x v="0"/>
    <x v="0"/>
    <s v="Yes"/>
    <n v="20"/>
    <n v="5"/>
    <n v="60"/>
  </r>
  <r>
    <n v="3417"/>
    <s v="Yara Machado"/>
    <x v="2"/>
    <d v="2024-08-30T00:00:00"/>
    <x v="1"/>
    <x v="2"/>
    <x v="0"/>
    <x v="1"/>
    <x v="1"/>
    <s v="Yes"/>
    <n v="20"/>
    <n v="10"/>
    <n v="20"/>
  </r>
  <r>
    <n v="3418"/>
    <s v="Zacarias Costa"/>
    <x v="1"/>
    <d v="2024-08-31T00:00:00"/>
    <x v="0"/>
    <x v="1"/>
    <x v="2"/>
    <x v="1"/>
    <x v="1"/>
    <s v="No"/>
    <n v="0"/>
    <n v="0"/>
    <n v="5"/>
  </r>
  <r>
    <n v="3419"/>
    <s v="André Lopes"/>
    <x v="0"/>
    <d v="2024-09-01T00:00:00"/>
    <x v="1"/>
    <x v="0"/>
    <x v="0"/>
    <x v="0"/>
    <x v="0"/>
    <s v="Yes"/>
    <n v="20"/>
    <n v="3"/>
    <n v="62"/>
  </r>
  <r>
    <n v="3420"/>
    <s v="Beatriz Souza"/>
    <x v="2"/>
    <d v="2024-09-02T00:00:00"/>
    <x v="0"/>
    <x v="2"/>
    <x v="1"/>
    <x v="1"/>
    <x v="1"/>
    <s v="Yes"/>
    <n v="20"/>
    <n v="15"/>
    <n v="15"/>
  </r>
  <r>
    <n v="3421"/>
    <s v="Caio Pereira"/>
    <x v="1"/>
    <d v="2024-09-03T00:00:00"/>
    <x v="1"/>
    <x v="1"/>
    <x v="0"/>
    <x v="1"/>
    <x v="1"/>
    <s v="No"/>
    <n v="0"/>
    <n v="1"/>
    <n v="4"/>
  </r>
  <r>
    <n v="3422"/>
    <s v="Daniela Araújo"/>
    <x v="0"/>
    <d v="2024-09-04T00:00:00"/>
    <x v="0"/>
    <x v="0"/>
    <x v="2"/>
    <x v="0"/>
    <x v="0"/>
    <s v="Yes"/>
    <n v="20"/>
    <n v="7"/>
    <n v="58"/>
  </r>
  <r>
    <n v="3423"/>
    <s v="Eduardo Santos"/>
    <x v="2"/>
    <d v="2024-09-05T00:00:00"/>
    <x v="1"/>
    <x v="2"/>
    <x v="0"/>
    <x v="1"/>
    <x v="1"/>
    <s v="Yes"/>
    <n v="20"/>
    <n v="10"/>
    <n v="20"/>
  </r>
  <r>
    <n v="3424"/>
    <s v="Fernanda Lima"/>
    <x v="1"/>
    <d v="2024-09-06T00:00:00"/>
    <x v="0"/>
    <x v="1"/>
    <x v="1"/>
    <x v="1"/>
    <x v="1"/>
    <s v="No"/>
    <n v="0"/>
    <n v="0"/>
    <n v="5"/>
  </r>
  <r>
    <n v="3425"/>
    <s v="Gabriel Teixeira"/>
    <x v="0"/>
    <d v="2024-09-07T00:00:00"/>
    <x v="1"/>
    <x v="0"/>
    <x v="0"/>
    <x v="0"/>
    <x v="0"/>
    <s v="Yes"/>
    <n v="20"/>
    <n v="20"/>
    <n v="45"/>
  </r>
  <r>
    <n v="3426"/>
    <s v="Helena Ribeiro"/>
    <x v="2"/>
    <d v="2024-09-08T00:00:00"/>
    <x v="0"/>
    <x v="2"/>
    <x v="2"/>
    <x v="1"/>
    <x v="1"/>
    <s v="Yes"/>
    <n v="20"/>
    <n v="15"/>
    <n v="15"/>
  </r>
  <r>
    <n v="3427"/>
    <s v="Igor Mendes"/>
    <x v="1"/>
    <d v="2024-09-09T00:00:00"/>
    <x v="1"/>
    <x v="1"/>
    <x v="0"/>
    <x v="1"/>
    <x v="1"/>
    <s v="No"/>
    <n v="0"/>
    <n v="1"/>
    <n v="4"/>
  </r>
  <r>
    <n v="3428"/>
    <s v="Joana Silveira"/>
    <x v="0"/>
    <d v="2024-09-10T00:00:00"/>
    <x v="0"/>
    <x v="0"/>
    <x v="1"/>
    <x v="0"/>
    <x v="0"/>
    <s v="Yes"/>
    <n v="20"/>
    <n v="3"/>
    <n v="62"/>
  </r>
  <r>
    <n v="3429"/>
    <s v="Lucas Martins"/>
    <x v="2"/>
    <d v="2024-09-11T00:00:00"/>
    <x v="1"/>
    <x v="2"/>
    <x v="0"/>
    <x v="1"/>
    <x v="1"/>
    <s v="Yes"/>
    <n v="20"/>
    <n v="10"/>
    <n v="20"/>
  </r>
  <r>
    <n v="3430"/>
    <s v="Marcela Gouveia"/>
    <x v="1"/>
    <d v="2024-09-12T00:00:00"/>
    <x v="0"/>
    <x v="1"/>
    <x v="2"/>
    <x v="1"/>
    <x v="1"/>
    <s v="No"/>
    <n v="0"/>
    <n v="0"/>
    <n v="5"/>
  </r>
  <r>
    <n v="3431"/>
    <s v="Nicolas Borges"/>
    <x v="0"/>
    <d v="2024-09-13T00:00:00"/>
    <x v="1"/>
    <x v="0"/>
    <x v="0"/>
    <x v="0"/>
    <x v="0"/>
    <s v="Yes"/>
    <n v="20"/>
    <n v="15"/>
    <n v="50"/>
  </r>
  <r>
    <n v="3432"/>
    <s v="Olivia Freitas"/>
    <x v="2"/>
    <d v="2024-09-14T00:00:00"/>
    <x v="0"/>
    <x v="2"/>
    <x v="1"/>
    <x v="1"/>
    <x v="1"/>
    <s v="Yes"/>
    <n v="20"/>
    <n v="15"/>
    <n v="15"/>
  </r>
  <r>
    <n v="3433"/>
    <s v="Paulo Nogueira"/>
    <x v="1"/>
    <d v="2024-09-15T00:00:00"/>
    <x v="1"/>
    <x v="1"/>
    <x v="0"/>
    <x v="1"/>
    <x v="1"/>
    <s v="No"/>
    <n v="0"/>
    <n v="1"/>
    <n v="4"/>
  </r>
  <r>
    <n v="3434"/>
    <s v="Raquel Andrade"/>
    <x v="0"/>
    <d v="2024-09-16T00:00:00"/>
    <x v="0"/>
    <x v="0"/>
    <x v="2"/>
    <x v="0"/>
    <x v="0"/>
    <s v="Yes"/>
    <n v="20"/>
    <n v="7"/>
    <n v="58"/>
  </r>
  <r>
    <n v="3435"/>
    <s v="Sônia Carvalho"/>
    <x v="2"/>
    <d v="2024-09-17T00:00:00"/>
    <x v="1"/>
    <x v="2"/>
    <x v="0"/>
    <x v="1"/>
    <x v="1"/>
    <s v="Yes"/>
    <n v="20"/>
    <n v="10"/>
    <n v="20"/>
  </r>
  <r>
    <n v="3436"/>
    <s v="Tiago Rodrigues"/>
    <x v="1"/>
    <d v="2024-09-18T00:00:00"/>
    <x v="0"/>
    <x v="1"/>
    <x v="0"/>
    <x v="1"/>
    <x v="1"/>
    <s v="No"/>
    <n v="0"/>
    <n v="0"/>
    <n v="5"/>
  </r>
  <r>
    <n v="3437"/>
    <s v="Ursula Monteiro"/>
    <x v="0"/>
    <d v="2024-09-19T00:00:00"/>
    <x v="1"/>
    <x v="0"/>
    <x v="2"/>
    <x v="0"/>
    <x v="0"/>
    <s v="Yes"/>
    <n v="20"/>
    <n v="7"/>
    <n v="58"/>
  </r>
  <r>
    <n v="3438"/>
    <s v="Vanessa Pereira"/>
    <x v="2"/>
    <d v="2024-09-20T00:00:00"/>
    <x v="0"/>
    <x v="2"/>
    <x v="1"/>
    <x v="1"/>
    <x v="1"/>
    <s v="Yes"/>
    <n v="20"/>
    <n v="10"/>
    <n v="20"/>
  </r>
  <r>
    <n v="3439"/>
    <s v="Walter Silva"/>
    <x v="1"/>
    <d v="2024-09-21T00:00:00"/>
    <x v="1"/>
    <x v="1"/>
    <x v="2"/>
    <x v="1"/>
    <x v="1"/>
    <s v="No"/>
    <n v="0"/>
    <n v="1"/>
    <n v="4"/>
  </r>
  <r>
    <n v="3440"/>
    <s v="Xavier Almeida"/>
    <x v="0"/>
    <d v="2024-09-22T00:00:00"/>
    <x v="0"/>
    <x v="0"/>
    <x v="0"/>
    <x v="0"/>
    <x v="0"/>
    <s v="Yes"/>
    <n v="20"/>
    <n v="15"/>
    <n v="50"/>
  </r>
  <r>
    <n v="3441"/>
    <s v="Yasmine Correia"/>
    <x v="2"/>
    <d v="2024-09-23T00:00:00"/>
    <x v="1"/>
    <x v="2"/>
    <x v="0"/>
    <x v="1"/>
    <x v="1"/>
    <s v="Yes"/>
    <n v="20"/>
    <n v="5"/>
    <n v="25"/>
  </r>
  <r>
    <n v="3442"/>
    <s v="Zacarias Almeida"/>
    <x v="1"/>
    <d v="2024-09-24T00:00:00"/>
    <x v="0"/>
    <x v="1"/>
    <x v="1"/>
    <x v="1"/>
    <x v="1"/>
    <s v="No"/>
    <n v="0"/>
    <n v="0"/>
    <n v="5"/>
  </r>
  <r>
    <n v="3443"/>
    <s v="Amanda Costa"/>
    <x v="0"/>
    <d v="2024-09-25T00:00:00"/>
    <x v="1"/>
    <x v="0"/>
    <x v="2"/>
    <x v="0"/>
    <x v="0"/>
    <s v="Yes"/>
    <n v="20"/>
    <n v="20"/>
    <n v="45"/>
  </r>
  <r>
    <n v="3444"/>
    <s v="Bruno Ferreira"/>
    <x v="2"/>
    <d v="2024-09-26T00:00:00"/>
    <x v="0"/>
    <x v="2"/>
    <x v="2"/>
    <x v="1"/>
    <x v="1"/>
    <s v="Yes"/>
    <n v="20"/>
    <n v="12"/>
    <n v="18"/>
  </r>
  <r>
    <n v="3445"/>
    <s v="Carla Dias"/>
    <x v="1"/>
    <d v="2024-09-27T00:00:00"/>
    <x v="1"/>
    <x v="1"/>
    <x v="0"/>
    <x v="1"/>
    <x v="1"/>
    <s v="No"/>
    <n v="0"/>
    <n v="2"/>
    <n v="3"/>
  </r>
  <r>
    <n v="3446"/>
    <s v="Diogo Martins"/>
    <x v="0"/>
    <d v="2024-09-28T00:00:00"/>
    <x v="0"/>
    <x v="0"/>
    <x v="1"/>
    <x v="0"/>
    <x v="0"/>
    <s v="Yes"/>
    <n v="20"/>
    <n v="5"/>
    <n v="60"/>
  </r>
  <r>
    <n v="3447"/>
    <s v="Elisa Campos"/>
    <x v="2"/>
    <d v="2024-09-29T00:00:00"/>
    <x v="1"/>
    <x v="2"/>
    <x v="0"/>
    <x v="1"/>
    <x v="1"/>
    <s v="Yes"/>
    <n v="20"/>
    <n v="10"/>
    <n v="20"/>
  </r>
  <r>
    <n v="3448"/>
    <s v="Fabiana Lima"/>
    <x v="1"/>
    <d v="2024-09-30T00:00:00"/>
    <x v="0"/>
    <x v="1"/>
    <x v="2"/>
    <x v="1"/>
    <x v="1"/>
    <s v="No"/>
    <n v="0"/>
    <n v="0"/>
    <n v="5"/>
  </r>
  <r>
    <n v="3449"/>
    <s v="Gabriel Santos"/>
    <x v="0"/>
    <d v="2024-10-01T00:00:00"/>
    <x v="1"/>
    <x v="0"/>
    <x v="0"/>
    <x v="0"/>
    <x v="0"/>
    <s v="Yes"/>
    <n v="20"/>
    <n v="3"/>
    <n v="62"/>
  </r>
  <r>
    <n v="3450"/>
    <s v="Helena Ferreira"/>
    <x v="2"/>
    <d v="2024-10-02T00:00:00"/>
    <x v="0"/>
    <x v="2"/>
    <x v="1"/>
    <x v="1"/>
    <x v="1"/>
    <s v="Yes"/>
    <n v="20"/>
    <n v="15"/>
    <n v="15"/>
  </r>
  <r>
    <n v="3451"/>
    <s v="Ígor Nunes"/>
    <x v="1"/>
    <d v="2024-10-03T00:00:00"/>
    <x v="1"/>
    <x v="1"/>
    <x v="0"/>
    <x v="1"/>
    <x v="1"/>
    <s v="No"/>
    <n v="0"/>
    <n v="1"/>
    <n v="4"/>
  </r>
  <r>
    <n v="3452"/>
    <s v="Joana Silveira"/>
    <x v="0"/>
    <d v="2024-10-04T00:00:00"/>
    <x v="0"/>
    <x v="0"/>
    <x v="2"/>
    <x v="0"/>
    <x v="0"/>
    <s v="Yes"/>
    <n v="20"/>
    <n v="7"/>
    <n v="58"/>
  </r>
  <r>
    <n v="3453"/>
    <s v="Kléber Oliveira"/>
    <x v="2"/>
    <d v="2024-10-05T00:00:00"/>
    <x v="1"/>
    <x v="2"/>
    <x v="0"/>
    <x v="1"/>
    <x v="1"/>
    <s v="Yes"/>
    <n v="20"/>
    <n v="10"/>
    <n v="20"/>
  </r>
  <r>
    <n v="3454"/>
    <s v="Luciana Morais"/>
    <x v="1"/>
    <d v="2024-10-06T00:00:00"/>
    <x v="0"/>
    <x v="1"/>
    <x v="1"/>
    <x v="1"/>
    <x v="1"/>
    <s v="No"/>
    <n v="0"/>
    <n v="0"/>
    <n v="5"/>
  </r>
  <r>
    <n v="3455"/>
    <s v="Marcos Vinícius"/>
    <x v="0"/>
    <d v="2024-10-07T00:00:00"/>
    <x v="1"/>
    <x v="0"/>
    <x v="0"/>
    <x v="0"/>
    <x v="0"/>
    <s v="Yes"/>
    <n v="20"/>
    <n v="20"/>
    <n v="45"/>
  </r>
  <r>
    <n v="3456"/>
    <s v="Natália Barros"/>
    <x v="2"/>
    <d v="2024-10-08T00:00:00"/>
    <x v="0"/>
    <x v="2"/>
    <x v="2"/>
    <x v="1"/>
    <x v="1"/>
    <s v="Yes"/>
    <n v="20"/>
    <n v="15"/>
    <n v="15"/>
  </r>
  <r>
    <n v="3457"/>
    <s v="Oscar Sampaio"/>
    <x v="1"/>
    <d v="2024-10-09T00:00:00"/>
    <x v="1"/>
    <x v="1"/>
    <x v="0"/>
    <x v="1"/>
    <x v="1"/>
    <s v="No"/>
    <n v="0"/>
    <n v="1"/>
    <n v="4"/>
  </r>
  <r>
    <n v="3458"/>
    <s v="Patrícia Leite"/>
    <x v="0"/>
    <d v="2024-10-10T00:00:00"/>
    <x v="0"/>
    <x v="0"/>
    <x v="1"/>
    <x v="0"/>
    <x v="0"/>
    <s v="Yes"/>
    <n v="20"/>
    <n v="3"/>
    <n v="62"/>
  </r>
  <r>
    <n v="3459"/>
    <s v="Quênia Rocha"/>
    <x v="2"/>
    <d v="2024-10-11T00:00:00"/>
    <x v="1"/>
    <x v="2"/>
    <x v="0"/>
    <x v="1"/>
    <x v="1"/>
    <s v="Yes"/>
    <n v="20"/>
    <n v="10"/>
    <n v="20"/>
  </r>
  <r>
    <n v="3460"/>
    <s v="Rafael Torres"/>
    <x v="1"/>
    <d v="2024-10-12T00:00:00"/>
    <x v="0"/>
    <x v="1"/>
    <x v="2"/>
    <x v="1"/>
    <x v="1"/>
    <s v="No"/>
    <n v="0"/>
    <n v="0"/>
    <n v="5"/>
  </r>
  <r>
    <n v="3461"/>
    <s v="Sandra Gouveia"/>
    <x v="0"/>
    <d v="2024-10-13T00:00:00"/>
    <x v="1"/>
    <x v="0"/>
    <x v="0"/>
    <x v="0"/>
    <x v="0"/>
    <s v="Yes"/>
    <n v="20"/>
    <n v="15"/>
    <n v="50"/>
  </r>
  <r>
    <n v="3462"/>
    <s v="Tiago Lacerda"/>
    <x v="2"/>
    <d v="2024-10-14T00:00:00"/>
    <x v="0"/>
    <x v="2"/>
    <x v="1"/>
    <x v="1"/>
    <x v="1"/>
    <s v="Yes"/>
    <n v="20"/>
    <n v="15"/>
    <n v="15"/>
  </r>
  <r>
    <n v="3463"/>
    <s v="Ursula Fonseca"/>
    <x v="1"/>
    <d v="2024-10-15T00:00:00"/>
    <x v="1"/>
    <x v="1"/>
    <x v="0"/>
    <x v="1"/>
    <x v="1"/>
    <s v="No"/>
    <n v="0"/>
    <n v="1"/>
    <n v="4"/>
  </r>
  <r>
    <n v="3464"/>
    <s v="Vanessa Andrade"/>
    <x v="0"/>
    <d v="2024-10-16T00:00:00"/>
    <x v="0"/>
    <x v="0"/>
    <x v="2"/>
    <x v="0"/>
    <x v="0"/>
    <s v="Yes"/>
    <n v="20"/>
    <n v="7"/>
    <n v="58"/>
  </r>
  <r>
    <n v="3465"/>
    <s v="William Castro"/>
    <x v="2"/>
    <d v="2024-10-17T00:00:00"/>
    <x v="1"/>
    <x v="2"/>
    <x v="0"/>
    <x v="1"/>
    <x v="1"/>
    <s v="Yes"/>
    <n v="20"/>
    <n v="10"/>
    <n v="20"/>
  </r>
  <r>
    <n v="3466"/>
    <s v="Xavier Monteiro"/>
    <x v="1"/>
    <d v="2024-10-18T00:00:00"/>
    <x v="0"/>
    <x v="1"/>
    <x v="1"/>
    <x v="1"/>
    <x v="1"/>
    <s v="No"/>
    <n v="0"/>
    <n v="0"/>
    <n v="5"/>
  </r>
  <r>
    <n v="3467"/>
    <s v="Yasmin Figueira"/>
    <x v="0"/>
    <d v="2024-10-19T00:00:00"/>
    <x v="1"/>
    <x v="0"/>
    <x v="0"/>
    <x v="0"/>
    <x v="0"/>
    <s v="Yes"/>
    <n v="20"/>
    <n v="15"/>
    <n v="50"/>
  </r>
  <r>
    <n v="3468"/>
    <s v="Zacarias Mendonça"/>
    <x v="2"/>
    <d v="2024-10-20T00:00:00"/>
    <x v="0"/>
    <x v="2"/>
    <x v="2"/>
    <x v="1"/>
    <x v="1"/>
    <s v="Yes"/>
    <n v="20"/>
    <n v="12"/>
    <n v="18"/>
  </r>
  <r>
    <n v="3469"/>
    <s v="Amanda Menezes"/>
    <x v="1"/>
    <d v="2024-10-21T00:00:00"/>
    <x v="1"/>
    <x v="1"/>
    <x v="0"/>
    <x v="1"/>
    <x v="1"/>
    <s v="No"/>
    <n v="0"/>
    <n v="2"/>
    <n v="3"/>
  </r>
  <r>
    <n v="3470"/>
    <s v="Bruno Santos"/>
    <x v="0"/>
    <d v="2024-10-22T00:00:00"/>
    <x v="0"/>
    <x v="0"/>
    <x v="1"/>
    <x v="0"/>
    <x v="0"/>
    <s v="Yes"/>
    <n v="20"/>
    <n v="5"/>
    <n v="60"/>
  </r>
  <r>
    <n v="3471"/>
    <s v="Carla Ferreira"/>
    <x v="2"/>
    <d v="2024-10-23T00:00:00"/>
    <x v="1"/>
    <x v="2"/>
    <x v="0"/>
    <x v="1"/>
    <x v="1"/>
    <s v="Yes"/>
    <n v="20"/>
    <n v="10"/>
    <n v="20"/>
  </r>
  <r>
    <n v="3472"/>
    <s v="Diogo Alves"/>
    <x v="1"/>
    <d v="2024-10-24T00:00:00"/>
    <x v="0"/>
    <x v="1"/>
    <x v="2"/>
    <x v="1"/>
    <x v="1"/>
    <s v="No"/>
    <n v="0"/>
    <n v="0"/>
    <n v="5"/>
  </r>
  <r>
    <n v="3473"/>
    <s v="Elisa Neves"/>
    <x v="0"/>
    <d v="2024-10-25T00:00:00"/>
    <x v="1"/>
    <x v="0"/>
    <x v="0"/>
    <x v="0"/>
    <x v="0"/>
    <s v="Yes"/>
    <n v="20"/>
    <n v="3"/>
    <n v="62"/>
  </r>
  <r>
    <n v="3474"/>
    <s v="Fabiano Pires"/>
    <x v="2"/>
    <d v="2024-10-26T00:00:00"/>
    <x v="0"/>
    <x v="2"/>
    <x v="1"/>
    <x v="1"/>
    <x v="1"/>
    <s v="Yes"/>
    <n v="20"/>
    <n v="15"/>
    <n v="15"/>
  </r>
  <r>
    <n v="3475"/>
    <s v="Giovana Ribeiro"/>
    <x v="1"/>
    <d v="2024-10-27T00:00:00"/>
    <x v="1"/>
    <x v="1"/>
    <x v="0"/>
    <x v="1"/>
    <x v="1"/>
    <s v="No"/>
    <n v="0"/>
    <n v="1"/>
    <n v="4"/>
  </r>
  <r>
    <n v="3476"/>
    <s v="Hélio Costa"/>
    <x v="0"/>
    <d v="2024-10-28T00:00:00"/>
    <x v="0"/>
    <x v="0"/>
    <x v="2"/>
    <x v="0"/>
    <x v="0"/>
    <s v="Yes"/>
    <n v="20"/>
    <n v="7"/>
    <n v="58"/>
  </r>
  <r>
    <n v="3477"/>
    <s v="Íris Loureiro"/>
    <x v="2"/>
    <d v="2024-10-29T00:00:00"/>
    <x v="1"/>
    <x v="2"/>
    <x v="0"/>
    <x v="1"/>
    <x v="1"/>
    <s v="Yes"/>
    <n v="20"/>
    <n v="10"/>
    <n v="20"/>
  </r>
  <r>
    <n v="3478"/>
    <s v="João Pereira"/>
    <x v="1"/>
    <d v="2024-10-30T00:00:00"/>
    <x v="0"/>
    <x v="1"/>
    <x v="1"/>
    <x v="1"/>
    <x v="1"/>
    <s v="No"/>
    <n v="0"/>
    <n v="0"/>
    <n v="5"/>
  </r>
  <r>
    <n v="3479"/>
    <s v="Klara Silva"/>
    <x v="0"/>
    <d v="2024-10-31T00:00:00"/>
    <x v="1"/>
    <x v="0"/>
    <x v="0"/>
    <x v="0"/>
    <x v="0"/>
    <s v="Yes"/>
    <n v="20"/>
    <n v="20"/>
    <n v="45"/>
  </r>
  <r>
    <n v="3480"/>
    <s v="Luciana Barros"/>
    <x v="2"/>
    <d v="2024-11-01T00:00:00"/>
    <x v="0"/>
    <x v="2"/>
    <x v="2"/>
    <x v="1"/>
    <x v="1"/>
    <s v="Yes"/>
    <n v="20"/>
    <n v="15"/>
    <n v="15"/>
  </r>
  <r>
    <n v="3481"/>
    <s v="Marcos Gomes"/>
    <x v="1"/>
    <d v="2024-11-02T00:00:00"/>
    <x v="1"/>
    <x v="1"/>
    <x v="0"/>
    <x v="1"/>
    <x v="1"/>
    <s v="No"/>
    <n v="0"/>
    <n v="1"/>
    <n v="4"/>
  </r>
  <r>
    <n v="3482"/>
    <s v="Natália Soares"/>
    <x v="0"/>
    <d v="2024-11-03T00:00:00"/>
    <x v="0"/>
    <x v="0"/>
    <x v="1"/>
    <x v="0"/>
    <x v="0"/>
    <s v="Yes"/>
    <n v="20"/>
    <n v="3"/>
    <n v="62"/>
  </r>
  <r>
    <n v="3483"/>
    <s v="Oscar Machado"/>
    <x v="2"/>
    <d v="2024-11-04T00:00:00"/>
    <x v="1"/>
    <x v="2"/>
    <x v="0"/>
    <x v="1"/>
    <x v="1"/>
    <s v="Yes"/>
    <n v="20"/>
    <n v="10"/>
    <n v="20"/>
  </r>
  <r>
    <n v="3484"/>
    <s v="Patrícia Lima"/>
    <x v="1"/>
    <d v="2024-11-05T00:00:00"/>
    <x v="0"/>
    <x v="1"/>
    <x v="2"/>
    <x v="1"/>
    <x v="1"/>
    <s v="No"/>
    <n v="0"/>
    <n v="0"/>
    <n v="5"/>
  </r>
  <r>
    <n v="3485"/>
    <s v="Quirino Neto"/>
    <x v="0"/>
    <d v="2024-11-06T00:00:00"/>
    <x v="1"/>
    <x v="0"/>
    <x v="0"/>
    <x v="0"/>
    <x v="0"/>
    <s v="Yes"/>
    <n v="20"/>
    <n v="15"/>
    <n v="50"/>
  </r>
  <r>
    <n v="3486"/>
    <s v="Rafaela Souza"/>
    <x v="1"/>
    <d v="2024-11-07T00:00:00"/>
    <x v="0"/>
    <x v="1"/>
    <x v="0"/>
    <x v="1"/>
    <x v="1"/>
    <s v="No"/>
    <n v="0"/>
    <n v="0"/>
    <n v="5"/>
  </r>
  <r>
    <n v="3487"/>
    <s v="Sandro Almeida"/>
    <x v="0"/>
    <d v="2024-11-08T00:00:00"/>
    <x v="1"/>
    <x v="0"/>
    <x v="2"/>
    <x v="0"/>
    <x v="0"/>
    <s v="Yes"/>
    <n v="20"/>
    <n v="7"/>
    <n v="58"/>
  </r>
  <r>
    <n v="3488"/>
    <s v="Tânia Ribeiro"/>
    <x v="2"/>
    <d v="2024-11-09T00:00:00"/>
    <x v="0"/>
    <x v="2"/>
    <x v="1"/>
    <x v="1"/>
    <x v="1"/>
    <s v="Yes"/>
    <n v="20"/>
    <n v="10"/>
    <n v="20"/>
  </r>
  <r>
    <n v="3489"/>
    <s v="Ugo Dias"/>
    <x v="1"/>
    <d v="2024-11-10T00:00:00"/>
    <x v="1"/>
    <x v="1"/>
    <x v="2"/>
    <x v="1"/>
    <x v="1"/>
    <s v="No"/>
    <n v="0"/>
    <n v="1"/>
    <n v="4"/>
  </r>
  <r>
    <n v="3490"/>
    <s v="Valéria Lima"/>
    <x v="0"/>
    <d v="2024-11-11T00:00:00"/>
    <x v="0"/>
    <x v="0"/>
    <x v="0"/>
    <x v="0"/>
    <x v="0"/>
    <s v="Yes"/>
    <n v="20"/>
    <n v="15"/>
    <n v="50"/>
  </r>
  <r>
    <n v="3491"/>
    <s v="William Fernandes"/>
    <x v="2"/>
    <d v="2024-11-12T00:00:00"/>
    <x v="1"/>
    <x v="2"/>
    <x v="0"/>
    <x v="1"/>
    <x v="1"/>
    <s v="Yes"/>
    <n v="20"/>
    <n v="5"/>
    <n v="25"/>
  </r>
  <r>
    <n v="3492"/>
    <s v="Xuxa Mendes"/>
    <x v="1"/>
    <d v="2024-11-13T00:00:00"/>
    <x v="0"/>
    <x v="1"/>
    <x v="1"/>
    <x v="1"/>
    <x v="1"/>
    <s v="No"/>
    <n v="0"/>
    <n v="0"/>
    <n v="5"/>
  </r>
  <r>
    <n v="3493"/>
    <s v="Ygor Farias"/>
    <x v="0"/>
    <d v="2024-11-14T00:00:00"/>
    <x v="1"/>
    <x v="0"/>
    <x v="2"/>
    <x v="0"/>
    <x v="0"/>
    <s v="Yes"/>
    <n v="20"/>
    <n v="20"/>
    <n v="45"/>
  </r>
  <r>
    <n v="3494"/>
    <s v="Zilda Barros"/>
    <x v="2"/>
    <d v="2024-11-15T00:00:00"/>
    <x v="0"/>
    <x v="2"/>
    <x v="2"/>
    <x v="1"/>
    <x v="1"/>
    <s v="Yes"/>
    <n v="20"/>
    <n v="12"/>
    <n v="18"/>
  </r>
  <r>
    <n v="3495"/>
    <s v="Amanda Santos"/>
    <x v="1"/>
    <d v="2024-11-16T00:00:00"/>
    <x v="1"/>
    <x v="1"/>
    <x v="0"/>
    <x v="1"/>
    <x v="1"/>
    <s v="No"/>
    <n v="0"/>
    <n v="2"/>
    <n v="3"/>
  </r>
  <r>
    <n v="3496"/>
    <s v="Bruno Costa"/>
    <x v="0"/>
    <d v="2024-11-17T00:00:00"/>
    <x v="0"/>
    <x v="0"/>
    <x v="1"/>
    <x v="0"/>
    <x v="0"/>
    <s v="Yes"/>
    <n v="20"/>
    <n v="5"/>
    <n v="60"/>
  </r>
  <r>
    <n v="3497"/>
    <s v="Carla Rodrigues"/>
    <x v="2"/>
    <d v="2024-11-18T00:00:00"/>
    <x v="1"/>
    <x v="2"/>
    <x v="0"/>
    <x v="1"/>
    <x v="1"/>
    <s v="Yes"/>
    <n v="20"/>
    <n v="10"/>
    <n v="20"/>
  </r>
  <r>
    <n v="3498"/>
    <s v="Diogo Pereira"/>
    <x v="1"/>
    <d v="2024-11-19T00:00:00"/>
    <x v="0"/>
    <x v="1"/>
    <x v="2"/>
    <x v="1"/>
    <x v="1"/>
    <s v="No"/>
    <n v="0"/>
    <n v="0"/>
    <n v="5"/>
  </r>
  <r>
    <n v="3499"/>
    <s v="Elisa Correia"/>
    <x v="0"/>
    <d v="2024-11-20T00:00:00"/>
    <x v="1"/>
    <x v="0"/>
    <x v="0"/>
    <x v="0"/>
    <x v="0"/>
    <s v="Yes"/>
    <n v="20"/>
    <n v="3"/>
    <n v="62"/>
  </r>
  <r>
    <n v="3500"/>
    <s v="Fábio Lourenço"/>
    <x v="2"/>
    <d v="2024-11-21T00:00:00"/>
    <x v="0"/>
    <x v="2"/>
    <x v="1"/>
    <x v="1"/>
    <x v="1"/>
    <s v="Yes"/>
    <n v="20"/>
    <n v="15"/>
    <n v="15"/>
  </r>
  <r>
    <n v="3501"/>
    <s v="Gabriela Neves"/>
    <x v="1"/>
    <d v="2024-11-22T00:00:00"/>
    <x v="1"/>
    <x v="1"/>
    <x v="0"/>
    <x v="1"/>
    <x v="1"/>
    <s v="No"/>
    <n v="0"/>
    <n v="1"/>
    <n v="4"/>
  </r>
  <r>
    <n v="3502"/>
    <s v="Henrique Gonçalves"/>
    <x v="0"/>
    <d v="2024-11-23T00:00:00"/>
    <x v="0"/>
    <x v="0"/>
    <x v="2"/>
    <x v="0"/>
    <x v="0"/>
    <s v="Yes"/>
    <n v="20"/>
    <n v="7"/>
    <n v="58"/>
  </r>
  <r>
    <n v="3503"/>
    <s v="Íris Santos"/>
    <x v="2"/>
    <d v="2024-11-24T00:00:00"/>
    <x v="1"/>
    <x v="2"/>
    <x v="0"/>
    <x v="1"/>
    <x v="1"/>
    <s v="Yes"/>
    <n v="20"/>
    <n v="10"/>
    <n v="20"/>
  </r>
  <r>
    <n v="3504"/>
    <s v="João Marcelo Alves"/>
    <x v="1"/>
    <d v="2024-11-25T00:00:00"/>
    <x v="0"/>
    <x v="1"/>
    <x v="1"/>
    <x v="1"/>
    <x v="1"/>
    <s v="No"/>
    <n v="0"/>
    <n v="0"/>
    <n v="5"/>
  </r>
  <r>
    <n v="3505"/>
    <s v="Klara Fonseca"/>
    <x v="0"/>
    <d v="2024-11-26T00:00:00"/>
    <x v="1"/>
    <x v="0"/>
    <x v="0"/>
    <x v="0"/>
    <x v="0"/>
    <s v="Yes"/>
    <n v="20"/>
    <n v="20"/>
    <n v="45"/>
  </r>
  <r>
    <n v="3506"/>
    <s v="Lucas Mendonça"/>
    <x v="2"/>
    <d v="2024-11-27T00:00:00"/>
    <x v="0"/>
    <x v="2"/>
    <x v="2"/>
    <x v="1"/>
    <x v="1"/>
    <s v="Yes"/>
    <n v="20"/>
    <n v="15"/>
    <n v="15"/>
  </r>
  <r>
    <n v="3507"/>
    <s v="Marcela Torres"/>
    <x v="1"/>
    <d v="2024-11-28T00:00:00"/>
    <x v="1"/>
    <x v="1"/>
    <x v="0"/>
    <x v="1"/>
    <x v="1"/>
    <s v="No"/>
    <n v="0"/>
    <n v="1"/>
    <n v="4"/>
  </r>
  <r>
    <n v="3508"/>
    <s v="Natália Castro"/>
    <x v="0"/>
    <d v="2024-11-29T00:00:00"/>
    <x v="0"/>
    <x v="0"/>
    <x v="1"/>
    <x v="0"/>
    <x v="0"/>
    <s v="Yes"/>
    <n v="20"/>
    <n v="3"/>
    <n v="62"/>
  </r>
  <r>
    <n v="3509"/>
    <s v="Oscar Martins"/>
    <x v="2"/>
    <d v="2024-11-30T00:00:00"/>
    <x v="1"/>
    <x v="2"/>
    <x v="0"/>
    <x v="1"/>
    <x v="1"/>
    <s v="Yes"/>
    <n v="20"/>
    <n v="10"/>
    <n v="20"/>
  </r>
  <r>
    <n v="3510"/>
    <s v="Patrícia Oliveira"/>
    <x v="1"/>
    <d v="2024-12-01T00:00:00"/>
    <x v="0"/>
    <x v="1"/>
    <x v="2"/>
    <x v="1"/>
    <x v="1"/>
    <s v="No"/>
    <n v="0"/>
    <n v="0"/>
    <n v="5"/>
  </r>
  <r>
    <n v="3511"/>
    <s v="Quentin Nogueira"/>
    <x v="0"/>
    <d v="2024-12-02T00:00:00"/>
    <x v="1"/>
    <x v="0"/>
    <x v="0"/>
    <x v="0"/>
    <x v="0"/>
    <s v="Yes"/>
    <n v="20"/>
    <n v="15"/>
    <n v="50"/>
  </r>
  <r>
    <n v="3512"/>
    <s v="Raquel Silva"/>
    <x v="2"/>
    <d v="2024-12-03T00:00:00"/>
    <x v="0"/>
    <x v="2"/>
    <x v="1"/>
    <x v="1"/>
    <x v="1"/>
    <s v="Yes"/>
    <n v="20"/>
    <n v="15"/>
    <n v="15"/>
  </r>
  <r>
    <n v="3513"/>
    <s v="Sandro Gomes"/>
    <x v="1"/>
    <d v="2024-12-04T00:00:00"/>
    <x v="1"/>
    <x v="1"/>
    <x v="0"/>
    <x v="1"/>
    <x v="1"/>
    <s v="No"/>
    <n v="0"/>
    <n v="1"/>
    <n v="4"/>
  </r>
  <r>
    <n v="3514"/>
    <s v="Tânia Machado"/>
    <x v="0"/>
    <d v="2024-12-05T00:00:00"/>
    <x v="0"/>
    <x v="0"/>
    <x v="2"/>
    <x v="0"/>
    <x v="0"/>
    <s v="Yes"/>
    <n v="20"/>
    <n v="7"/>
    <n v="58"/>
  </r>
  <r>
    <n v="3515"/>
    <s v="Ursula Silva"/>
    <x v="2"/>
    <d v="2024-12-06T00:00:00"/>
    <x v="1"/>
    <x v="2"/>
    <x v="0"/>
    <x v="1"/>
    <x v="1"/>
    <s v="Yes"/>
    <n v="20"/>
    <n v="10"/>
    <n v="20"/>
  </r>
  <r>
    <n v="3516"/>
    <s v="Vanessa Moraes"/>
    <x v="1"/>
    <d v="2024-12-07T00:00:00"/>
    <x v="0"/>
    <x v="1"/>
    <x v="1"/>
    <x v="1"/>
    <x v="1"/>
    <s v="No"/>
    <n v="0"/>
    <n v="0"/>
    <n v="5"/>
  </r>
  <r>
    <n v="3517"/>
    <s v="William Carvalho"/>
    <x v="0"/>
    <d v="2024-12-08T00:00:00"/>
    <x v="1"/>
    <x v="0"/>
    <x v="0"/>
    <x v="0"/>
    <x v="0"/>
    <s v="Yes"/>
    <n v="20"/>
    <n v="20"/>
    <n v="45"/>
  </r>
  <r>
    <n v="3518"/>
    <s v="Xavier Reis"/>
    <x v="2"/>
    <d v="2024-12-09T00:00:00"/>
    <x v="0"/>
    <x v="2"/>
    <x v="2"/>
    <x v="1"/>
    <x v="1"/>
    <s v="Yes"/>
    <n v="20"/>
    <n v="12"/>
    <n v="18"/>
  </r>
  <r>
    <n v="3519"/>
    <s v="Yasmin Rocha"/>
    <x v="1"/>
    <d v="2024-12-10T00:00:00"/>
    <x v="1"/>
    <x v="1"/>
    <x v="0"/>
    <x v="1"/>
    <x v="1"/>
    <s v="No"/>
    <n v="0"/>
    <n v="2"/>
    <n v="3"/>
  </r>
  <r>
    <n v="3520"/>
    <s v="Zacarias Duarte"/>
    <x v="0"/>
    <d v="2024-12-11T00:00:00"/>
    <x v="0"/>
    <x v="0"/>
    <x v="1"/>
    <x v="0"/>
    <x v="0"/>
    <s v="Yes"/>
    <n v="20"/>
    <n v="5"/>
    <n v="60"/>
  </r>
  <r>
    <n v="3521"/>
    <s v="Amanda Freitas"/>
    <x v="2"/>
    <d v="2024-12-12T00:00:00"/>
    <x v="1"/>
    <x v="2"/>
    <x v="0"/>
    <x v="1"/>
    <x v="1"/>
    <s v="Yes"/>
    <n v="20"/>
    <n v="10"/>
    <n v="20"/>
  </r>
  <r>
    <n v="3522"/>
    <s v="Bruno Almeida"/>
    <x v="1"/>
    <d v="2024-12-13T00:00:00"/>
    <x v="0"/>
    <x v="1"/>
    <x v="2"/>
    <x v="1"/>
    <x v="1"/>
    <s v="No"/>
    <n v="0"/>
    <n v="0"/>
    <n v="5"/>
  </r>
  <r>
    <n v="3523"/>
    <s v="Carla Siqueira"/>
    <x v="0"/>
    <d v="2024-12-14T00:00:00"/>
    <x v="1"/>
    <x v="0"/>
    <x v="0"/>
    <x v="0"/>
    <x v="0"/>
    <s v="Yes"/>
    <n v="20"/>
    <n v="3"/>
    <n v="62"/>
  </r>
  <r>
    <n v="3524"/>
    <s v="Diogo Ramos"/>
    <x v="2"/>
    <d v="2024-12-15T00:00:00"/>
    <x v="0"/>
    <x v="2"/>
    <x v="1"/>
    <x v="1"/>
    <x v="1"/>
    <s v="Yes"/>
    <n v="20"/>
    <n v="15"/>
    <n v="15"/>
  </r>
  <r>
    <n v="3525"/>
    <s v="Elisa Magalhães"/>
    <x v="1"/>
    <d v="2024-12-16T00:00:00"/>
    <x v="1"/>
    <x v="1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C28:D3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3">
    <format dxfId="38">
      <pivotArea outline="0" collapsedLevelsAreSubtotals="1" fieldPosition="0"/>
    </format>
    <format dxfId="37">
      <pivotArea outline="0" collapsedLevelsAreSubtotals="1" fieldPosition="0"/>
    </format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6:B9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formats count="3">
    <format dxfId="41">
      <pivotArea outline="0" collapsedLevelsAreSubtotals="1" fieldPosition="0"/>
    </format>
    <format dxfId="40">
      <pivotArea outline="0" collapsedLevelsAreSubtotals="1" fieldPosition="0"/>
    </format>
    <format dxfId="39">
      <pivotArea outline="0" collapsedLevelsAreSubtotals="1" fieldPosition="0"/>
    </format>
  </formats>
  <chartFormats count="1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18:C2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3">
    <format dxfId="44">
      <pivotArea outline="0" collapsedLevelsAreSubtotals="1" fieldPosition="0"/>
    </format>
    <format dxfId="43">
      <pivotArea outline="0" collapsedLevelsAreSubtotals="1" fieldPosition="0"/>
    </format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1"/>
    <pivotTable tabId="3" name="Tabela dinâmica2"/>
    <pivotTable tabId="3" name="Tabela dinâmica3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 2 2" rowHeight="241300"/>
</slicers>
</file>

<file path=xl/tables/table1.xml><?xml version="1.0" encoding="utf-8"?>
<table xmlns="http://schemas.openxmlformats.org/spreadsheetml/2006/main" id="1" name="Tabela1" displayName="Tabela1" ref="A1:M296" totalsRowShown="0" dataDxfId="58">
  <autoFilter ref="A1:M296">
    <filterColumn colId="7">
      <filters>
        <filter val="Yes"/>
      </filters>
    </filterColumn>
  </autoFilter>
  <tableColumns count="13">
    <tableColumn id="1" name="Subscriber ID" dataDxfId="57"/>
    <tableColumn id="2" name="Name" dataDxfId="56"/>
    <tableColumn id="3" name="Plan" dataDxfId="55"/>
    <tableColumn id="4" name="Start Date" dataDxfId="54"/>
    <tableColumn id="5" name="Auto Renewal" dataDxfId="53"/>
    <tableColumn id="6" name="Subscription Price" dataDxfId="52" dataCellStyle="Moeda"/>
    <tableColumn id="7" name="Subscription Type" dataDxfId="51"/>
    <tableColumn id="8" name="EA Play Season Pass" dataDxfId="50"/>
    <tableColumn id="13" name="EA Play Season Pass_x000a_Price" dataDxfId="49" dataCellStyle="Moeda"/>
    <tableColumn id="9" name="Minecraft Season Pass" dataDxfId="48"/>
    <tableColumn id="10" name="Minecraft Season Pass Price" dataDxfId="47" dataCellStyle="Moeda"/>
    <tableColumn id="11" name="Coupon Value" dataDxfId="46" dataCellStyle="Moeda"/>
    <tableColumn id="12" name="Total Value" dataDxfId="45" dataCellStyle="Moeda"/>
  </tableColumns>
  <tableStyleInfo name="TableStyleLight1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a:spPr>
      <a:bodyPr vertOverflow="clip" horzOverflow="clip" rtlCol="0" anchor="t"/>
      <a:lstStyle>
        <a:defPPr algn="l">
          <a:defRPr sz="1100" kern="12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13" zoomScaleNormal="100" workbookViewId="0">
      <selection activeCell="B6" sqref="B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B1" zoomScale="90" zoomScaleNormal="90" workbookViewId="0">
      <selection activeCell="I1" sqref="I1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4:F32"/>
  <sheetViews>
    <sheetView showGridLines="0" topLeftCell="A16" workbookViewId="0">
      <selection activeCell="F32" sqref="F32"/>
    </sheetView>
  </sheetViews>
  <sheetFormatPr defaultRowHeight="14.25"/>
  <cols>
    <col min="1" max="3" width="18" customWidth="1"/>
    <col min="4" max="4" width="35.125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4" spans="1:3">
      <c r="A4" s="12" t="s">
        <v>16</v>
      </c>
      <c r="B4" t="s">
        <v>24</v>
      </c>
    </row>
    <row r="6" spans="1:3">
      <c r="A6" s="12" t="s">
        <v>313</v>
      </c>
      <c r="B6" t="s">
        <v>315</v>
      </c>
    </row>
    <row r="7" spans="1:3">
      <c r="A7" s="13" t="s">
        <v>23</v>
      </c>
      <c r="B7" s="14">
        <v>217</v>
      </c>
    </row>
    <row r="8" spans="1:3">
      <c r="A8" s="13" t="s">
        <v>19</v>
      </c>
      <c r="B8" s="14">
        <v>1537</v>
      </c>
    </row>
    <row r="9" spans="1:3">
      <c r="A9" s="13" t="s">
        <v>314</v>
      </c>
      <c r="B9" s="14">
        <v>1754</v>
      </c>
    </row>
    <row r="16" spans="1:3">
      <c r="B16" s="12" t="s">
        <v>16</v>
      </c>
      <c r="C16" t="s">
        <v>24</v>
      </c>
    </row>
    <row r="18" spans="2:6">
      <c r="B18" s="12" t="s">
        <v>313</v>
      </c>
      <c r="C18" t="s">
        <v>317</v>
      </c>
    </row>
    <row r="19" spans="2:6">
      <c r="B19" s="13" t="s">
        <v>22</v>
      </c>
      <c r="C19" s="14">
        <v>0</v>
      </c>
    </row>
    <row r="20" spans="2:6">
      <c r="B20" s="13" t="s">
        <v>26</v>
      </c>
      <c r="C20" s="14">
        <v>0</v>
      </c>
    </row>
    <row r="21" spans="2:6">
      <c r="B21" s="13" t="s">
        <v>18</v>
      </c>
      <c r="C21" s="14">
        <v>600</v>
      </c>
    </row>
    <row r="22" spans="2:6">
      <c r="B22" s="13" t="s">
        <v>314</v>
      </c>
      <c r="C22" s="14">
        <v>600</v>
      </c>
      <c r="D22" s="14">
        <f>GETPIVOTDATA("EA Play Season Pass
Price",$B$18)</f>
        <v>600</v>
      </c>
    </row>
    <row r="26" spans="2:6">
      <c r="C26" s="12" t="s">
        <v>16</v>
      </c>
      <c r="D26" t="s">
        <v>24</v>
      </c>
    </row>
    <row r="28" spans="2:6">
      <c r="C28" s="12" t="s">
        <v>313</v>
      </c>
      <c r="D28" t="s">
        <v>318</v>
      </c>
    </row>
    <row r="29" spans="2:6">
      <c r="C29" s="13" t="s">
        <v>22</v>
      </c>
      <c r="D29" s="14">
        <v>0</v>
      </c>
    </row>
    <row r="30" spans="2:6">
      <c r="C30" s="13" t="s">
        <v>26</v>
      </c>
      <c r="D30" s="14">
        <v>540</v>
      </c>
    </row>
    <row r="31" spans="2:6">
      <c r="C31" s="13" t="s">
        <v>18</v>
      </c>
      <c r="D31" s="14">
        <v>400</v>
      </c>
    </row>
    <row r="32" spans="2:6">
      <c r="C32" s="13" t="s">
        <v>314</v>
      </c>
      <c r="D32" s="14">
        <v>940</v>
      </c>
      <c r="F32" s="14">
        <f>GETPIVOTDATA("Minecraft Season Pass Price",$C$28)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P31"/>
  <sheetViews>
    <sheetView showGridLines="0" tabSelected="1" zoomScale="87" zoomScaleNormal="87" workbookViewId="0">
      <selection activeCell="R10" sqref="R10"/>
    </sheetView>
  </sheetViews>
  <sheetFormatPr defaultRowHeight="23.25"/>
  <cols>
    <col min="1" max="1" width="27.125" style="25" customWidth="1"/>
    <col min="2" max="2" width="3.625" style="26" customWidth="1"/>
    <col min="3" max="11" width="9" style="25"/>
    <col min="12" max="12" width="6.625" style="25" customWidth="1"/>
    <col min="13" max="16384" width="9" style="25"/>
  </cols>
  <sheetData>
    <row r="1" spans="1:16" customFormat="1">
      <c r="A1" s="15"/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/>
    </row>
    <row r="2" spans="1:16" customFormat="1" ht="39" customHeight="1">
      <c r="A2" s="19"/>
      <c r="B2" s="20" t="s">
        <v>316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2"/>
    </row>
    <row r="3" spans="1:16" customFormat="1" ht="8.25" customHeight="1">
      <c r="A3" s="19"/>
      <c r="B3" s="23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2"/>
    </row>
    <row r="4" spans="1:16" customFormat="1" ht="18.75" customHeight="1">
      <c r="A4" s="19"/>
      <c r="B4" s="23"/>
      <c r="C4" s="21" t="s">
        <v>319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2"/>
    </row>
    <row r="5" spans="1:16" ht="7.5" customHeight="1">
      <c r="A5" s="19"/>
      <c r="B5" s="27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9"/>
    </row>
    <row r="6" spans="1:16" ht="10.5" customHeight="1">
      <c r="A6" s="19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9"/>
    </row>
    <row r="7" spans="1:16" ht="9.75" customHeight="1">
      <c r="A7" s="19"/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9"/>
    </row>
    <row r="8" spans="1:16" ht="33" customHeight="1">
      <c r="A8" s="19"/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</row>
    <row r="9" spans="1:16">
      <c r="A9" s="19"/>
      <c r="B9" s="27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9"/>
    </row>
    <row r="10" spans="1:16">
      <c r="A10" s="19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9"/>
    </row>
    <row r="11" spans="1:16">
      <c r="A11" s="19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</row>
    <row r="12" spans="1:16">
      <c r="A12" s="19"/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</row>
    <row r="13" spans="1:16">
      <c r="A13" s="19"/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</row>
    <row r="14" spans="1:16">
      <c r="A14" s="19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</row>
    <row r="15" spans="1:16">
      <c r="A15" s="19"/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</row>
    <row r="16" spans="1:16">
      <c r="A16" s="19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</row>
    <row r="17" spans="1:16">
      <c r="A17" s="19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</row>
    <row r="18" spans="1:16">
      <c r="A18" s="19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</row>
    <row r="19" spans="1:16">
      <c r="A19" s="19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</row>
    <row r="20" spans="1:16">
      <c r="A20" s="19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</row>
    <row r="21" spans="1:16">
      <c r="A21" s="19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</row>
    <row r="22" spans="1:16">
      <c r="A22" s="19"/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9"/>
    </row>
    <row r="23" spans="1:16">
      <c r="A23" s="19"/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9"/>
    </row>
    <row r="24" spans="1:16">
      <c r="A24" s="19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9"/>
    </row>
    <row r="25" spans="1:16">
      <c r="A25" s="19"/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</row>
    <row r="26" spans="1:16">
      <c r="A26" s="19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9"/>
    </row>
    <row r="27" spans="1:16">
      <c r="A27" s="19"/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9"/>
    </row>
    <row r="28" spans="1:16">
      <c r="A28" s="19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9"/>
    </row>
    <row r="29" spans="1:16">
      <c r="A29" s="19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9"/>
    </row>
    <row r="30" spans="1:16">
      <c r="A30" s="19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9"/>
    </row>
    <row r="31" spans="1:16">
      <c r="A31" s="24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documentManagement/types"/>
    <ds:schemaRef ds:uri="851b35d3-0456-4d6a-bc2f-da927e91d158"/>
    <ds:schemaRef ds:uri="http://schemas.microsoft.com/office/2006/metadata/properties"/>
    <ds:schemaRef ds:uri="http://purl.org/dc/elements/1.1/"/>
    <ds:schemaRef ds:uri="http://purl.org/dc/terms/"/>
    <ds:schemaRef ds:uri="19483571-f922-4e8e-9c1c-26f0a2252132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Cliente</cp:lastModifiedBy>
  <dcterms:created xsi:type="dcterms:W3CDTF">2024-12-19T13:13:10Z</dcterms:created>
  <dcterms:modified xsi:type="dcterms:W3CDTF">2026-01-13T12:20:23Z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